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\Ashok Leyland Ltd\Product Costing - Parthiban C\Database\CSC Templates &amp; supporting material\1.Templates\"/>
    </mc:Choice>
  </mc:AlternateContent>
  <bookViews>
    <workbookView xWindow="0" yWindow="0" windowWidth="24000" windowHeight="13830"/>
  </bookViews>
  <sheets>
    <sheet name="Sheet1" sheetId="1" r:id="rId1"/>
    <sheet name="RM backup" sheetId="2" r:id="rId2"/>
    <sheet name="Machine spe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I9" i="1"/>
  <c r="D10" i="1" l="1"/>
  <c r="D11" i="1" s="1"/>
  <c r="I7" i="1"/>
  <c r="I8" i="1" s="1"/>
  <c r="I2" i="1"/>
  <c r="J2" i="1" s="1"/>
  <c r="D17" i="1" s="1"/>
  <c r="D13" i="1" l="1"/>
  <c r="D12" i="1"/>
  <c r="D16" i="1"/>
  <c r="D14" i="1"/>
  <c r="I10" i="1"/>
  <c r="D15" i="1"/>
  <c r="D18" i="1" l="1"/>
</calcChain>
</file>

<file path=xl/sharedStrings.xml><?xml version="1.0" encoding="utf-8"?>
<sst xmlns="http://schemas.openxmlformats.org/spreadsheetml/2006/main" count="31" uniqueCount="30">
  <si>
    <t>#</t>
  </si>
  <si>
    <t>Natural rubber(RSS 4)</t>
  </si>
  <si>
    <t>Grade</t>
  </si>
  <si>
    <t>Rev</t>
  </si>
  <si>
    <t>Description</t>
  </si>
  <si>
    <t>Part No.</t>
  </si>
  <si>
    <t>Qty</t>
  </si>
  <si>
    <t>RM rate</t>
  </si>
  <si>
    <t>Net weight</t>
  </si>
  <si>
    <t>Gross weight</t>
  </si>
  <si>
    <t>RM cost</t>
  </si>
  <si>
    <t>Process cost</t>
  </si>
  <si>
    <t>No. of cavaties</t>
  </si>
  <si>
    <t>Platen size</t>
  </si>
  <si>
    <t>Useful area</t>
  </si>
  <si>
    <t>Part size</t>
  </si>
  <si>
    <t>Cycle time/part</t>
  </si>
  <si>
    <t>No. of parts /shift</t>
  </si>
  <si>
    <t>Moulding cost/shift-150T</t>
  </si>
  <si>
    <t>Moulding cost/Tonne-Rs.5/tonne</t>
  </si>
  <si>
    <t>Moulding cost/piece</t>
  </si>
  <si>
    <t>Part cost</t>
  </si>
  <si>
    <t>Profit-8% on RM</t>
  </si>
  <si>
    <t>Overhead-15% on Process</t>
  </si>
  <si>
    <t>Tool maintenance cost-1% on Process</t>
  </si>
  <si>
    <t>Rej-2% on RM+VA</t>
  </si>
  <si>
    <t>ICC-2.25% on RM</t>
  </si>
  <si>
    <t>Handling &amp; Inspection</t>
  </si>
  <si>
    <t>FG000158</t>
  </si>
  <si>
    <t>Fender garnish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</si>
</sst>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2" borderId="1" xfId="0" applyFont="1" applyFill="1" applyBorder="1"/>
    <xf numFmtId="1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1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47624</xdr:rowOff>
    </xdr:from>
    <xdr:to>
      <xdr:col>10</xdr:col>
      <xdr:colOff>196107</xdr:colOff>
      <xdr:row>38</xdr:row>
      <xdr:rowOff>115583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38124"/>
          <a:ext cx="6158757" cy="71164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19</xdr:col>
      <xdr:colOff>363591</xdr:colOff>
      <xdr:row>55</xdr:row>
      <xdr:rowOff>10989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11755491" cy="10488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tabSelected="1" workbookViewId="0">
      <selection activeCell="C2" sqref="C2"/>
    </sheetView>
  </sheetViews>
  <sheetFormatPr defaultRowHeight="14.5" x14ac:dyDescent="0.35"/>
  <cols>
    <col min="2" max="2" width="9.81640625" bestFit="1" customWidth="1"/>
    <col min="3" max="3" width="44.1796875" bestFit="1" customWidth="1"/>
    <col min="4" max="4" width="5" bestFit="1" customWidth="1"/>
    <col min="5" max="5" width="4.1796875" style="2" bestFit="1" customWidth="1"/>
    <col min="6" max="6" width="20.26953125" bestFit="1" customWidth="1"/>
    <col min="8" max="8" width="10.81640625" bestFit="1" customWidth="1"/>
    <col min="9" max="9" width="12.453125" bestFit="1" customWidth="1"/>
  </cols>
  <sheetData>
    <row r="1" spans="2:10" x14ac:dyDescent="0.35">
      <c r="B1" s="5" t="s">
        <v>5</v>
      </c>
      <c r="C1" s="5" t="s">
        <v>4</v>
      </c>
      <c r="D1" s="5" t="s">
        <v>3</v>
      </c>
      <c r="E1" s="9" t="s">
        <v>6</v>
      </c>
      <c r="F1" s="5" t="s">
        <v>2</v>
      </c>
      <c r="G1" s="5" t="s">
        <v>7</v>
      </c>
      <c r="H1" s="5" t="s">
        <v>8</v>
      </c>
      <c r="I1" s="5" t="s">
        <v>9</v>
      </c>
      <c r="J1" s="5" t="s">
        <v>10</v>
      </c>
    </row>
    <row r="2" spans="2:10" x14ac:dyDescent="0.35">
      <c r="B2" s="1" t="s">
        <v>28</v>
      </c>
      <c r="C2" s="1" t="s">
        <v>29</v>
      </c>
      <c r="D2" s="1" t="s">
        <v>0</v>
      </c>
      <c r="E2" s="3">
        <v>1</v>
      </c>
      <c r="F2" s="1" t="s">
        <v>1</v>
      </c>
      <c r="G2" s="1">
        <v>215</v>
      </c>
      <c r="H2" s="1">
        <v>0.1</v>
      </c>
      <c r="I2" s="1">
        <f>H2*1.2</f>
        <v>0.12</v>
      </c>
      <c r="J2" s="5">
        <f>I2*G2</f>
        <v>25.8</v>
      </c>
    </row>
    <row r="6" spans="2:10" x14ac:dyDescent="0.35">
      <c r="C6" s="5" t="s">
        <v>11</v>
      </c>
    </row>
    <row r="7" spans="2:10" x14ac:dyDescent="0.35">
      <c r="C7" s="1" t="s">
        <v>12</v>
      </c>
      <c r="D7" s="1">
        <v>24</v>
      </c>
      <c r="H7" s="1" t="s">
        <v>13</v>
      </c>
      <c r="I7" s="1">
        <f>(30*30)*25.4^2</f>
        <v>580644</v>
      </c>
    </row>
    <row r="8" spans="2:10" x14ac:dyDescent="0.35">
      <c r="C8" s="1" t="s">
        <v>16</v>
      </c>
      <c r="D8" s="1">
        <v>13</v>
      </c>
      <c r="H8" s="1" t="s">
        <v>14</v>
      </c>
      <c r="I8" s="1">
        <f>I7*0.5</f>
        <v>290322</v>
      </c>
    </row>
    <row r="9" spans="2:10" x14ac:dyDescent="0.35">
      <c r="C9" s="1" t="s">
        <v>17</v>
      </c>
      <c r="D9" s="1">
        <f>8*60*85%/D8*D7</f>
        <v>753.23076923076917</v>
      </c>
      <c r="H9" s="1" t="s">
        <v>15</v>
      </c>
      <c r="I9" s="1">
        <f>220*50</f>
        <v>11000</v>
      </c>
    </row>
    <row r="10" spans="2:10" ht="29" x14ac:dyDescent="0.35">
      <c r="C10" s="4" t="s">
        <v>18</v>
      </c>
      <c r="D10" s="4">
        <f>5*8*150</f>
        <v>6000</v>
      </c>
      <c r="F10" s="8" t="s">
        <v>19</v>
      </c>
      <c r="H10" s="1" t="s">
        <v>12</v>
      </c>
      <c r="I10" s="7">
        <f>I8/I9</f>
        <v>26.39290909090909</v>
      </c>
    </row>
    <row r="11" spans="2:10" x14ac:dyDescent="0.35">
      <c r="C11" s="5" t="s">
        <v>20</v>
      </c>
      <c r="D11" s="5">
        <f>D10/D9</f>
        <v>7.9656862745098049</v>
      </c>
    </row>
    <row r="12" spans="2:10" x14ac:dyDescent="0.35">
      <c r="C12" s="1" t="s">
        <v>26</v>
      </c>
      <c r="D12" s="1">
        <f>J2*2.25%</f>
        <v>0.58050000000000002</v>
      </c>
    </row>
    <row r="13" spans="2:10" x14ac:dyDescent="0.35">
      <c r="C13" s="1" t="s">
        <v>25</v>
      </c>
      <c r="D13" s="1">
        <f>2%*(J2+D11)</f>
        <v>0.67531372549019608</v>
      </c>
    </row>
    <row r="14" spans="2:10" x14ac:dyDescent="0.35">
      <c r="C14" s="1" t="s">
        <v>24</v>
      </c>
      <c r="D14" s="1">
        <f>D11*1%</f>
        <v>7.9656862745098048E-2</v>
      </c>
    </row>
    <row r="15" spans="2:10" x14ac:dyDescent="0.35">
      <c r="C15" s="1" t="s">
        <v>23</v>
      </c>
      <c r="D15" s="1">
        <f>D11*15%</f>
        <v>1.1948529411764708</v>
      </c>
    </row>
    <row r="16" spans="2:10" x14ac:dyDescent="0.35">
      <c r="C16" s="1" t="s">
        <v>22</v>
      </c>
      <c r="D16" s="1">
        <f>8%*(D11+J2)</f>
        <v>2.7012549019607843</v>
      </c>
    </row>
    <row r="17" spans="3:4" x14ac:dyDescent="0.35">
      <c r="C17" s="1" t="s">
        <v>27</v>
      </c>
      <c r="D17" s="1">
        <f>2%*(J2+D11)</f>
        <v>0.67531372549019608</v>
      </c>
    </row>
    <row r="18" spans="3:4" x14ac:dyDescent="0.35">
      <c r="C18" s="6" t="s">
        <v>21</v>
      </c>
      <c r="D18" s="6">
        <f>SUM(J2,D11,D12:D17)</f>
        <v>39.672578431372557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O32" sqref="O3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O32" sqref="O32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20" ma:contentTypeDescription="Create a new document." ma:contentTypeScope="" ma:versionID="5bb0f93c229ea113d746b6b29bc34c6e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13ab5334e00f441e8de5c1a0190a4c67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  <Date xmlns="19b22dc6-87e6-4dbe-8744-e2116ed56044" xsi:nil="true"/>
  </documentManagement>
</p:properties>
</file>

<file path=customXml/itemProps1.xml><?xml version="1.0" encoding="utf-8"?>
<ds:datastoreItem xmlns:ds="http://schemas.openxmlformats.org/officeDocument/2006/customXml" ds:itemID="{54E1ABA8-5AC6-4B3F-9316-F5F51072E2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427389-580C-4523-9CA8-70F93B29D36F}"/>
</file>

<file path=customXml/itemProps3.xml><?xml version="1.0" encoding="utf-8"?>
<ds:datastoreItem xmlns:ds="http://schemas.openxmlformats.org/officeDocument/2006/customXml" ds:itemID="{255E0FDE-C70E-4144-87C7-5D8A791FD6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RM backup</vt:lpstr>
      <vt:lpstr>Machine 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Parthiban C (Product Costing)</dc:creator>
  <cp:lastModifiedBy>Parthiban C (Product Costing)</cp:lastModifiedBy>
  <dcterms:created xsi:type="dcterms:W3CDTF">2022-02-23T09:34:44Z</dcterms:created>
  <dcterms:modified xsi:type="dcterms:W3CDTF">2023-07-18T09:18:37Z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</Properties>
</file>