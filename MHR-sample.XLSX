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\Ashok Leyland Ltd\Product Costing - Parthiban C\Database\CSC Templates &amp; supporting material\1.Templates\"/>
    </mc:Choice>
  </mc:AlternateContent>
  <bookViews>
    <workbookView xWindow="0" yWindow="0" windowWidth="16005" windowHeight="7605"/>
  </bookViews>
  <sheets>
    <sheet name="Norms - Format" sheetId="1" r:id="rId1"/>
  </sheets>
  <externalReferences>
    <externalReference r:id="rId2"/>
  </externalReferences>
  <definedNames>
    <definedName name="castingrmgrades" localSheetId="0">#REF!</definedName>
    <definedName name="castingrmgrades">#REF!</definedName>
    <definedName name="dddddddd" localSheetId="0">#REF!</definedName>
    <definedName name="dddddddd">#REF!</definedName>
    <definedName name="From">[1]Database!$F$8:$F$17</definedName>
    <definedName name="To">[1]Database!$E$16:$E$17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7" i="1" l="1"/>
  <c r="B37" i="1"/>
  <c r="F36" i="1" l="1"/>
  <c r="E34" i="1"/>
  <c r="F31" i="1"/>
  <c r="F30" i="1"/>
  <c r="F29" i="1"/>
  <c r="E25" i="1"/>
  <c r="E24" i="1"/>
  <c r="F22" i="1"/>
  <c r="E21" i="1"/>
  <c r="E20" i="1"/>
  <c r="E19" i="1"/>
  <c r="F17" i="1"/>
  <c r="B16" i="1"/>
  <c r="B14" i="1"/>
  <c r="B12" i="1"/>
  <c r="D37" i="1" s="1"/>
  <c r="B39" i="1" s="1"/>
  <c r="F39" i="1" l="1"/>
  <c r="D39" i="1"/>
  <c r="E45" i="1" l="1"/>
  <c r="B41" i="1"/>
</calcChain>
</file>

<file path=xl/sharedStrings.xml><?xml version="1.0" encoding="utf-8"?>
<sst xmlns="http://schemas.openxmlformats.org/spreadsheetml/2006/main" count="93" uniqueCount="78">
  <si>
    <t>Process Norms - Calculation Sheet</t>
  </si>
  <si>
    <t>Yet to finalised</t>
  </si>
  <si>
    <t>Machine Information</t>
  </si>
  <si>
    <t>Machine Name</t>
  </si>
  <si>
    <t>Horizontal Machining Centre</t>
  </si>
  <si>
    <t>Machine Capacity</t>
  </si>
  <si>
    <t>1200 Table Size</t>
  </si>
  <si>
    <t>Process Category</t>
  </si>
  <si>
    <t>Machining</t>
  </si>
  <si>
    <t>Floor Space required</t>
  </si>
  <si>
    <t>Sq. Mtr</t>
  </si>
  <si>
    <t>General Information</t>
  </si>
  <si>
    <t>Depreciation Period</t>
  </si>
  <si>
    <t>Interest Rate</t>
  </si>
  <si>
    <t>Overall Equipment Efficiency</t>
  </si>
  <si>
    <t>Overall Labour Efficiency</t>
  </si>
  <si>
    <t>Floor Space Rent</t>
  </si>
  <si>
    <t>Per Sq.Mtr per Month</t>
  </si>
  <si>
    <t>Skilled Labour Rate/Hour</t>
  </si>
  <si>
    <t>Semi skilled Labour Rate/Hour</t>
  </si>
  <si>
    <t>Unskilled Labour Rate/Hour</t>
  </si>
  <si>
    <t>Capital Cost</t>
  </si>
  <si>
    <t>Details</t>
  </si>
  <si>
    <t>Cost</t>
  </si>
  <si>
    <t>Remarks</t>
  </si>
  <si>
    <t>Machine Purchase Cost</t>
  </si>
  <si>
    <t>Installation Charges</t>
  </si>
  <si>
    <t>Other Cost</t>
  </si>
  <si>
    <t>Total Cost</t>
  </si>
  <si>
    <t>Running Cost</t>
  </si>
  <si>
    <t>Annual Maintenance Cost</t>
  </si>
  <si>
    <t>Consumables</t>
  </si>
  <si>
    <t>Item Details</t>
  </si>
  <si>
    <t>Rate / unit</t>
  </si>
  <si>
    <t>UOM</t>
  </si>
  <si>
    <t>Consumption per year</t>
  </si>
  <si>
    <t>Cost per item</t>
  </si>
  <si>
    <t>Cutting Oil</t>
  </si>
  <si>
    <t>Litre</t>
  </si>
  <si>
    <t>Coolant</t>
  </si>
  <si>
    <t>Cotton waste</t>
  </si>
  <si>
    <t>Kg</t>
  </si>
  <si>
    <t>Auxillary Equipment Cost</t>
  </si>
  <si>
    <t>Cost per item per year</t>
  </si>
  <si>
    <t>Compressor</t>
  </si>
  <si>
    <t>Nos</t>
  </si>
  <si>
    <t>General Tools</t>
  </si>
  <si>
    <t>Power / Fuel Requirement</t>
  </si>
  <si>
    <t>Type of Power</t>
  </si>
  <si>
    <t>Rate / Unit</t>
  </si>
  <si>
    <t>Comsumption per Hour</t>
  </si>
  <si>
    <t>Per Hour Cost</t>
  </si>
  <si>
    <t>Electricity - Motor power</t>
  </si>
  <si>
    <t>Kw Hr</t>
  </si>
  <si>
    <t>Diesel</t>
  </si>
  <si>
    <t>Furnace Oil</t>
  </si>
  <si>
    <t>Labour Cost</t>
  </si>
  <si>
    <t>Labour Skill</t>
  </si>
  <si>
    <t>Skilled</t>
  </si>
  <si>
    <t>Semi skilled</t>
  </si>
  <si>
    <t>Unskilled</t>
  </si>
  <si>
    <t>No of Labour</t>
  </si>
  <si>
    <t>Shift Model</t>
  </si>
  <si>
    <t>Number of shifts</t>
  </si>
  <si>
    <t>Hour of shift</t>
  </si>
  <si>
    <t>Days per Year</t>
  </si>
  <si>
    <t>Net Machine hour per Year</t>
  </si>
  <si>
    <t>Net Fixed Cost per year</t>
  </si>
  <si>
    <t>Net Variable Cost per year</t>
  </si>
  <si>
    <t>Machine Norms</t>
  </si>
  <si>
    <t>Machine Hour Rate</t>
  </si>
  <si>
    <t>Machine Minute Rate</t>
  </si>
  <si>
    <t>Machine Shift Rate</t>
  </si>
  <si>
    <t>Cycle Time in Minutes</t>
  </si>
  <si>
    <t>Cost per operation or unit</t>
  </si>
  <si>
    <t>Batch setup</t>
  </si>
  <si>
    <t>Set-up time required in Minutes</t>
  </si>
  <si>
    <t>Batch Set-up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</si>
</sst>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1" xfId="0" applyFont="1" applyBorder="1"/>
    <xf numFmtId="0" fontId="0" fillId="3" borderId="1" xfId="0" applyFill="1" applyBorder="1"/>
    <xf numFmtId="0" fontId="0" fillId="0" borderId="1" xfId="0" applyFill="1" applyBorder="1"/>
    <xf numFmtId="0" fontId="2" fillId="0" borderId="1" xfId="0" applyFont="1" applyBorder="1" applyAlignment="1">
      <alignment vertical="center"/>
    </xf>
    <xf numFmtId="1" fontId="1" fillId="4" borderId="1" xfId="0" applyNumberFormat="1" applyFont="1" applyFill="1" applyBorder="1"/>
    <xf numFmtId="1" fontId="0" fillId="3" borderId="1" xfId="0" applyNumberFormat="1" applyFill="1" applyBorder="1"/>
    <xf numFmtId="2" fontId="0" fillId="0" borderId="0" xfId="0" applyNumberFormat="1"/>
    <xf numFmtId="16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1" fillId="4" borderId="2" xfId="0" applyNumberFormat="1" applyFont="1" applyFill="1" applyBorder="1" applyAlignment="1">
      <alignment horizontal="center"/>
    </xf>
    <xf numFmtId="2" fontId="1" fillId="4" borderId="3" xfId="0" applyNumberFormat="1" applyFont="1" applyFill="1" applyBorder="1" applyAlignment="1">
      <alignment horizontal="center"/>
    </xf>
    <xf numFmtId="2" fontId="1" fillId="4" borderId="4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cnas\product_costing$\Users\baskar.b\AppData\Local\Microsoft\Windows\Temporary%20Internet%20Files\Content.Outlook\VPTQMCJ1\Transport%20Calcula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ation"/>
      <sheetName val="Database"/>
      <sheetName val="Sheet4"/>
    </sheetNames>
    <sheetDataSet>
      <sheetData sheetId="0"/>
      <sheetData sheetId="1">
        <row r="8">
          <cell r="F8" t="str">
            <v>Hosur</v>
          </cell>
        </row>
        <row r="9">
          <cell r="F9" t="str">
            <v>Bangalore</v>
          </cell>
        </row>
        <row r="10">
          <cell r="F10" t="str">
            <v>Coimbutore</v>
          </cell>
        </row>
        <row r="11">
          <cell r="F11" t="str">
            <v>Shimoga</v>
          </cell>
        </row>
        <row r="12">
          <cell r="F12" t="str">
            <v>Mangalore</v>
          </cell>
        </row>
        <row r="13">
          <cell r="F13" t="str">
            <v>Kolhapur</v>
          </cell>
        </row>
        <row r="14">
          <cell r="F14" t="str">
            <v>Pune</v>
          </cell>
        </row>
        <row r="15">
          <cell r="F15" t="str">
            <v>Delhi</v>
          </cell>
        </row>
        <row r="16">
          <cell r="E16" t="str">
            <v>Chennai</v>
          </cell>
          <cell r="F16" t="str">
            <v>Ludhiana</v>
          </cell>
        </row>
        <row r="17">
          <cell r="E17" t="str">
            <v>Hosur</v>
          </cell>
          <cell r="F17" t="str">
            <v>Chennai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45"/>
  <sheetViews>
    <sheetView tabSelected="1" topLeftCell="A7" workbookViewId="0">
      <selection activeCell="I34" sqref="I34"/>
    </sheetView>
  </sheetViews>
  <sheetFormatPr defaultRowHeight="15" x14ac:dyDescent="0.25"/>
  <cols>
    <col min="1" max="1" width="15.42578125" customWidth="1"/>
    <col min="2" max="2" width="9.7109375" customWidth="1"/>
    <col min="3" max="3" width="14.42578125" customWidth="1"/>
    <col min="4" max="4" width="20.85546875" bestFit="1" customWidth="1"/>
    <col min="5" max="5" width="27.140625" bestFit="1" customWidth="1"/>
    <col min="6" max="6" width="15.28515625" bestFit="1" customWidth="1"/>
    <col min="257" max="257" width="31.7109375" bestFit="1" customWidth="1"/>
    <col min="258" max="258" width="26.7109375" bestFit="1" customWidth="1"/>
    <col min="259" max="259" width="34.140625" customWidth="1"/>
    <col min="260" max="260" width="14.42578125" bestFit="1" customWidth="1"/>
    <col min="261" max="261" width="27.140625" bestFit="1" customWidth="1"/>
    <col min="262" max="262" width="13.140625" bestFit="1" customWidth="1"/>
    <col min="513" max="513" width="31.7109375" bestFit="1" customWidth="1"/>
    <col min="514" max="514" width="26.7109375" bestFit="1" customWidth="1"/>
    <col min="515" max="515" width="34.140625" customWidth="1"/>
    <col min="516" max="516" width="14.42578125" bestFit="1" customWidth="1"/>
    <col min="517" max="517" width="27.140625" bestFit="1" customWidth="1"/>
    <col min="518" max="518" width="13.140625" bestFit="1" customWidth="1"/>
    <col min="769" max="769" width="31.7109375" bestFit="1" customWidth="1"/>
    <col min="770" max="770" width="26.7109375" bestFit="1" customWidth="1"/>
    <col min="771" max="771" width="34.140625" customWidth="1"/>
    <col min="772" max="772" width="14.42578125" bestFit="1" customWidth="1"/>
    <col min="773" max="773" width="27.140625" bestFit="1" customWidth="1"/>
    <col min="774" max="774" width="13.140625" bestFit="1" customWidth="1"/>
    <col min="1025" max="1025" width="31.7109375" bestFit="1" customWidth="1"/>
    <col min="1026" max="1026" width="26.7109375" bestFit="1" customWidth="1"/>
    <col min="1027" max="1027" width="34.140625" customWidth="1"/>
    <col min="1028" max="1028" width="14.42578125" bestFit="1" customWidth="1"/>
    <col min="1029" max="1029" width="27.140625" bestFit="1" customWidth="1"/>
    <col min="1030" max="1030" width="13.140625" bestFit="1" customWidth="1"/>
    <col min="1281" max="1281" width="31.7109375" bestFit="1" customWidth="1"/>
    <col min="1282" max="1282" width="26.7109375" bestFit="1" customWidth="1"/>
    <col min="1283" max="1283" width="34.140625" customWidth="1"/>
    <col min="1284" max="1284" width="14.42578125" bestFit="1" customWidth="1"/>
    <col min="1285" max="1285" width="27.140625" bestFit="1" customWidth="1"/>
    <col min="1286" max="1286" width="13.140625" bestFit="1" customWidth="1"/>
    <col min="1537" max="1537" width="31.7109375" bestFit="1" customWidth="1"/>
    <col min="1538" max="1538" width="26.7109375" bestFit="1" customWidth="1"/>
    <col min="1539" max="1539" width="34.140625" customWidth="1"/>
    <col min="1540" max="1540" width="14.42578125" bestFit="1" customWidth="1"/>
    <col min="1541" max="1541" width="27.140625" bestFit="1" customWidth="1"/>
    <col min="1542" max="1542" width="13.140625" bestFit="1" customWidth="1"/>
    <col min="1793" max="1793" width="31.7109375" bestFit="1" customWidth="1"/>
    <col min="1794" max="1794" width="26.7109375" bestFit="1" customWidth="1"/>
    <col min="1795" max="1795" width="34.140625" customWidth="1"/>
    <col min="1796" max="1796" width="14.42578125" bestFit="1" customWidth="1"/>
    <col min="1797" max="1797" width="27.140625" bestFit="1" customWidth="1"/>
    <col min="1798" max="1798" width="13.140625" bestFit="1" customWidth="1"/>
    <col min="2049" max="2049" width="31.7109375" bestFit="1" customWidth="1"/>
    <col min="2050" max="2050" width="26.7109375" bestFit="1" customWidth="1"/>
    <col min="2051" max="2051" width="34.140625" customWidth="1"/>
    <col min="2052" max="2052" width="14.42578125" bestFit="1" customWidth="1"/>
    <col min="2053" max="2053" width="27.140625" bestFit="1" customWidth="1"/>
    <col min="2054" max="2054" width="13.140625" bestFit="1" customWidth="1"/>
    <col min="2305" max="2305" width="31.7109375" bestFit="1" customWidth="1"/>
    <col min="2306" max="2306" width="26.7109375" bestFit="1" customWidth="1"/>
    <col min="2307" max="2307" width="34.140625" customWidth="1"/>
    <col min="2308" max="2308" width="14.42578125" bestFit="1" customWidth="1"/>
    <col min="2309" max="2309" width="27.140625" bestFit="1" customWidth="1"/>
    <col min="2310" max="2310" width="13.140625" bestFit="1" customWidth="1"/>
    <col min="2561" max="2561" width="31.7109375" bestFit="1" customWidth="1"/>
    <col min="2562" max="2562" width="26.7109375" bestFit="1" customWidth="1"/>
    <col min="2563" max="2563" width="34.140625" customWidth="1"/>
    <col min="2564" max="2564" width="14.42578125" bestFit="1" customWidth="1"/>
    <col min="2565" max="2565" width="27.140625" bestFit="1" customWidth="1"/>
    <col min="2566" max="2566" width="13.140625" bestFit="1" customWidth="1"/>
    <col min="2817" max="2817" width="31.7109375" bestFit="1" customWidth="1"/>
    <col min="2818" max="2818" width="26.7109375" bestFit="1" customWidth="1"/>
    <col min="2819" max="2819" width="34.140625" customWidth="1"/>
    <col min="2820" max="2820" width="14.42578125" bestFit="1" customWidth="1"/>
    <col min="2821" max="2821" width="27.140625" bestFit="1" customWidth="1"/>
    <col min="2822" max="2822" width="13.140625" bestFit="1" customWidth="1"/>
    <col min="3073" max="3073" width="31.7109375" bestFit="1" customWidth="1"/>
    <col min="3074" max="3074" width="26.7109375" bestFit="1" customWidth="1"/>
    <col min="3075" max="3075" width="34.140625" customWidth="1"/>
    <col min="3076" max="3076" width="14.42578125" bestFit="1" customWidth="1"/>
    <col min="3077" max="3077" width="27.140625" bestFit="1" customWidth="1"/>
    <col min="3078" max="3078" width="13.140625" bestFit="1" customWidth="1"/>
    <col min="3329" max="3329" width="31.7109375" bestFit="1" customWidth="1"/>
    <col min="3330" max="3330" width="26.7109375" bestFit="1" customWidth="1"/>
    <col min="3331" max="3331" width="34.140625" customWidth="1"/>
    <col min="3332" max="3332" width="14.42578125" bestFit="1" customWidth="1"/>
    <col min="3333" max="3333" width="27.140625" bestFit="1" customWidth="1"/>
    <col min="3334" max="3334" width="13.140625" bestFit="1" customWidth="1"/>
    <col min="3585" max="3585" width="31.7109375" bestFit="1" customWidth="1"/>
    <col min="3586" max="3586" width="26.7109375" bestFit="1" customWidth="1"/>
    <col min="3587" max="3587" width="34.140625" customWidth="1"/>
    <col min="3588" max="3588" width="14.42578125" bestFit="1" customWidth="1"/>
    <col min="3589" max="3589" width="27.140625" bestFit="1" customWidth="1"/>
    <col min="3590" max="3590" width="13.140625" bestFit="1" customWidth="1"/>
    <col min="3841" max="3841" width="31.7109375" bestFit="1" customWidth="1"/>
    <col min="3842" max="3842" width="26.7109375" bestFit="1" customWidth="1"/>
    <col min="3843" max="3843" width="34.140625" customWidth="1"/>
    <col min="3844" max="3844" width="14.42578125" bestFit="1" customWidth="1"/>
    <col min="3845" max="3845" width="27.140625" bestFit="1" customWidth="1"/>
    <col min="3846" max="3846" width="13.140625" bestFit="1" customWidth="1"/>
    <col min="4097" max="4097" width="31.7109375" bestFit="1" customWidth="1"/>
    <col min="4098" max="4098" width="26.7109375" bestFit="1" customWidth="1"/>
    <col min="4099" max="4099" width="34.140625" customWidth="1"/>
    <col min="4100" max="4100" width="14.42578125" bestFit="1" customWidth="1"/>
    <col min="4101" max="4101" width="27.140625" bestFit="1" customWidth="1"/>
    <col min="4102" max="4102" width="13.140625" bestFit="1" customWidth="1"/>
    <col min="4353" max="4353" width="31.7109375" bestFit="1" customWidth="1"/>
    <col min="4354" max="4354" width="26.7109375" bestFit="1" customWidth="1"/>
    <col min="4355" max="4355" width="34.140625" customWidth="1"/>
    <col min="4356" max="4356" width="14.42578125" bestFit="1" customWidth="1"/>
    <col min="4357" max="4357" width="27.140625" bestFit="1" customWidth="1"/>
    <col min="4358" max="4358" width="13.140625" bestFit="1" customWidth="1"/>
    <col min="4609" max="4609" width="31.7109375" bestFit="1" customWidth="1"/>
    <col min="4610" max="4610" width="26.7109375" bestFit="1" customWidth="1"/>
    <col min="4611" max="4611" width="34.140625" customWidth="1"/>
    <col min="4612" max="4612" width="14.42578125" bestFit="1" customWidth="1"/>
    <col min="4613" max="4613" width="27.140625" bestFit="1" customWidth="1"/>
    <col min="4614" max="4614" width="13.140625" bestFit="1" customWidth="1"/>
    <col min="4865" max="4865" width="31.7109375" bestFit="1" customWidth="1"/>
    <col min="4866" max="4866" width="26.7109375" bestFit="1" customWidth="1"/>
    <col min="4867" max="4867" width="34.140625" customWidth="1"/>
    <col min="4868" max="4868" width="14.42578125" bestFit="1" customWidth="1"/>
    <col min="4869" max="4869" width="27.140625" bestFit="1" customWidth="1"/>
    <col min="4870" max="4870" width="13.140625" bestFit="1" customWidth="1"/>
    <col min="5121" max="5121" width="31.7109375" bestFit="1" customWidth="1"/>
    <col min="5122" max="5122" width="26.7109375" bestFit="1" customWidth="1"/>
    <col min="5123" max="5123" width="34.140625" customWidth="1"/>
    <col min="5124" max="5124" width="14.42578125" bestFit="1" customWidth="1"/>
    <col min="5125" max="5125" width="27.140625" bestFit="1" customWidth="1"/>
    <col min="5126" max="5126" width="13.140625" bestFit="1" customWidth="1"/>
    <col min="5377" max="5377" width="31.7109375" bestFit="1" customWidth="1"/>
    <col min="5378" max="5378" width="26.7109375" bestFit="1" customWidth="1"/>
    <col min="5379" max="5379" width="34.140625" customWidth="1"/>
    <col min="5380" max="5380" width="14.42578125" bestFit="1" customWidth="1"/>
    <col min="5381" max="5381" width="27.140625" bestFit="1" customWidth="1"/>
    <col min="5382" max="5382" width="13.140625" bestFit="1" customWidth="1"/>
    <col min="5633" max="5633" width="31.7109375" bestFit="1" customWidth="1"/>
    <col min="5634" max="5634" width="26.7109375" bestFit="1" customWidth="1"/>
    <col min="5635" max="5635" width="34.140625" customWidth="1"/>
    <col min="5636" max="5636" width="14.42578125" bestFit="1" customWidth="1"/>
    <col min="5637" max="5637" width="27.140625" bestFit="1" customWidth="1"/>
    <col min="5638" max="5638" width="13.140625" bestFit="1" customWidth="1"/>
    <col min="5889" max="5889" width="31.7109375" bestFit="1" customWidth="1"/>
    <col min="5890" max="5890" width="26.7109375" bestFit="1" customWidth="1"/>
    <col min="5891" max="5891" width="34.140625" customWidth="1"/>
    <col min="5892" max="5892" width="14.42578125" bestFit="1" customWidth="1"/>
    <col min="5893" max="5893" width="27.140625" bestFit="1" customWidth="1"/>
    <col min="5894" max="5894" width="13.140625" bestFit="1" customWidth="1"/>
    <col min="6145" max="6145" width="31.7109375" bestFit="1" customWidth="1"/>
    <col min="6146" max="6146" width="26.7109375" bestFit="1" customWidth="1"/>
    <col min="6147" max="6147" width="34.140625" customWidth="1"/>
    <col min="6148" max="6148" width="14.42578125" bestFit="1" customWidth="1"/>
    <col min="6149" max="6149" width="27.140625" bestFit="1" customWidth="1"/>
    <col min="6150" max="6150" width="13.140625" bestFit="1" customWidth="1"/>
    <col min="6401" max="6401" width="31.7109375" bestFit="1" customWidth="1"/>
    <col min="6402" max="6402" width="26.7109375" bestFit="1" customWidth="1"/>
    <col min="6403" max="6403" width="34.140625" customWidth="1"/>
    <col min="6404" max="6404" width="14.42578125" bestFit="1" customWidth="1"/>
    <col min="6405" max="6405" width="27.140625" bestFit="1" customWidth="1"/>
    <col min="6406" max="6406" width="13.140625" bestFit="1" customWidth="1"/>
    <col min="6657" max="6657" width="31.7109375" bestFit="1" customWidth="1"/>
    <col min="6658" max="6658" width="26.7109375" bestFit="1" customWidth="1"/>
    <col min="6659" max="6659" width="34.140625" customWidth="1"/>
    <col min="6660" max="6660" width="14.42578125" bestFit="1" customWidth="1"/>
    <col min="6661" max="6661" width="27.140625" bestFit="1" customWidth="1"/>
    <col min="6662" max="6662" width="13.140625" bestFit="1" customWidth="1"/>
    <col min="6913" max="6913" width="31.7109375" bestFit="1" customWidth="1"/>
    <col min="6914" max="6914" width="26.7109375" bestFit="1" customWidth="1"/>
    <col min="6915" max="6915" width="34.140625" customWidth="1"/>
    <col min="6916" max="6916" width="14.42578125" bestFit="1" customWidth="1"/>
    <col min="6917" max="6917" width="27.140625" bestFit="1" customWidth="1"/>
    <col min="6918" max="6918" width="13.140625" bestFit="1" customWidth="1"/>
    <col min="7169" max="7169" width="31.7109375" bestFit="1" customWidth="1"/>
    <col min="7170" max="7170" width="26.7109375" bestFit="1" customWidth="1"/>
    <col min="7171" max="7171" width="34.140625" customWidth="1"/>
    <col min="7172" max="7172" width="14.42578125" bestFit="1" customWidth="1"/>
    <col min="7173" max="7173" width="27.140625" bestFit="1" customWidth="1"/>
    <col min="7174" max="7174" width="13.140625" bestFit="1" customWidth="1"/>
    <col min="7425" max="7425" width="31.7109375" bestFit="1" customWidth="1"/>
    <col min="7426" max="7426" width="26.7109375" bestFit="1" customWidth="1"/>
    <col min="7427" max="7427" width="34.140625" customWidth="1"/>
    <col min="7428" max="7428" width="14.42578125" bestFit="1" customWidth="1"/>
    <col min="7429" max="7429" width="27.140625" bestFit="1" customWidth="1"/>
    <col min="7430" max="7430" width="13.140625" bestFit="1" customWidth="1"/>
    <col min="7681" max="7681" width="31.7109375" bestFit="1" customWidth="1"/>
    <col min="7682" max="7682" width="26.7109375" bestFit="1" customWidth="1"/>
    <col min="7683" max="7683" width="34.140625" customWidth="1"/>
    <col min="7684" max="7684" width="14.42578125" bestFit="1" customWidth="1"/>
    <col min="7685" max="7685" width="27.140625" bestFit="1" customWidth="1"/>
    <col min="7686" max="7686" width="13.140625" bestFit="1" customWidth="1"/>
    <col min="7937" max="7937" width="31.7109375" bestFit="1" customWidth="1"/>
    <col min="7938" max="7938" width="26.7109375" bestFit="1" customWidth="1"/>
    <col min="7939" max="7939" width="34.140625" customWidth="1"/>
    <col min="7940" max="7940" width="14.42578125" bestFit="1" customWidth="1"/>
    <col min="7941" max="7941" width="27.140625" bestFit="1" customWidth="1"/>
    <col min="7942" max="7942" width="13.140625" bestFit="1" customWidth="1"/>
    <col min="8193" max="8193" width="31.7109375" bestFit="1" customWidth="1"/>
    <col min="8194" max="8194" width="26.7109375" bestFit="1" customWidth="1"/>
    <col min="8195" max="8195" width="34.140625" customWidth="1"/>
    <col min="8196" max="8196" width="14.42578125" bestFit="1" customWidth="1"/>
    <col min="8197" max="8197" width="27.140625" bestFit="1" customWidth="1"/>
    <col min="8198" max="8198" width="13.140625" bestFit="1" customWidth="1"/>
    <col min="8449" max="8449" width="31.7109375" bestFit="1" customWidth="1"/>
    <col min="8450" max="8450" width="26.7109375" bestFit="1" customWidth="1"/>
    <col min="8451" max="8451" width="34.140625" customWidth="1"/>
    <col min="8452" max="8452" width="14.42578125" bestFit="1" customWidth="1"/>
    <col min="8453" max="8453" width="27.140625" bestFit="1" customWidth="1"/>
    <col min="8454" max="8454" width="13.140625" bestFit="1" customWidth="1"/>
    <col min="8705" max="8705" width="31.7109375" bestFit="1" customWidth="1"/>
    <col min="8706" max="8706" width="26.7109375" bestFit="1" customWidth="1"/>
    <col min="8707" max="8707" width="34.140625" customWidth="1"/>
    <col min="8708" max="8708" width="14.42578125" bestFit="1" customWidth="1"/>
    <col min="8709" max="8709" width="27.140625" bestFit="1" customWidth="1"/>
    <col min="8710" max="8710" width="13.140625" bestFit="1" customWidth="1"/>
    <col min="8961" max="8961" width="31.7109375" bestFit="1" customWidth="1"/>
    <col min="8962" max="8962" width="26.7109375" bestFit="1" customWidth="1"/>
    <col min="8963" max="8963" width="34.140625" customWidth="1"/>
    <col min="8964" max="8964" width="14.42578125" bestFit="1" customWidth="1"/>
    <col min="8965" max="8965" width="27.140625" bestFit="1" customWidth="1"/>
    <col min="8966" max="8966" width="13.140625" bestFit="1" customWidth="1"/>
    <col min="9217" max="9217" width="31.7109375" bestFit="1" customWidth="1"/>
    <col min="9218" max="9218" width="26.7109375" bestFit="1" customWidth="1"/>
    <col min="9219" max="9219" width="34.140625" customWidth="1"/>
    <col min="9220" max="9220" width="14.42578125" bestFit="1" customWidth="1"/>
    <col min="9221" max="9221" width="27.140625" bestFit="1" customWidth="1"/>
    <col min="9222" max="9222" width="13.140625" bestFit="1" customWidth="1"/>
    <col min="9473" max="9473" width="31.7109375" bestFit="1" customWidth="1"/>
    <col min="9474" max="9474" width="26.7109375" bestFit="1" customWidth="1"/>
    <col min="9475" max="9475" width="34.140625" customWidth="1"/>
    <col min="9476" max="9476" width="14.42578125" bestFit="1" customWidth="1"/>
    <col min="9477" max="9477" width="27.140625" bestFit="1" customWidth="1"/>
    <col min="9478" max="9478" width="13.140625" bestFit="1" customWidth="1"/>
    <col min="9729" max="9729" width="31.7109375" bestFit="1" customWidth="1"/>
    <col min="9730" max="9730" width="26.7109375" bestFit="1" customWidth="1"/>
    <col min="9731" max="9731" width="34.140625" customWidth="1"/>
    <col min="9732" max="9732" width="14.42578125" bestFit="1" customWidth="1"/>
    <col min="9733" max="9733" width="27.140625" bestFit="1" customWidth="1"/>
    <col min="9734" max="9734" width="13.140625" bestFit="1" customWidth="1"/>
    <col min="9985" max="9985" width="31.7109375" bestFit="1" customWidth="1"/>
    <col min="9986" max="9986" width="26.7109375" bestFit="1" customWidth="1"/>
    <col min="9987" max="9987" width="34.140625" customWidth="1"/>
    <col min="9988" max="9988" width="14.42578125" bestFit="1" customWidth="1"/>
    <col min="9989" max="9989" width="27.140625" bestFit="1" customWidth="1"/>
    <col min="9990" max="9990" width="13.140625" bestFit="1" customWidth="1"/>
    <col min="10241" max="10241" width="31.7109375" bestFit="1" customWidth="1"/>
    <col min="10242" max="10242" width="26.7109375" bestFit="1" customWidth="1"/>
    <col min="10243" max="10243" width="34.140625" customWidth="1"/>
    <col min="10244" max="10244" width="14.42578125" bestFit="1" customWidth="1"/>
    <col min="10245" max="10245" width="27.140625" bestFit="1" customWidth="1"/>
    <col min="10246" max="10246" width="13.140625" bestFit="1" customWidth="1"/>
    <col min="10497" max="10497" width="31.7109375" bestFit="1" customWidth="1"/>
    <col min="10498" max="10498" width="26.7109375" bestFit="1" customWidth="1"/>
    <col min="10499" max="10499" width="34.140625" customWidth="1"/>
    <col min="10500" max="10500" width="14.42578125" bestFit="1" customWidth="1"/>
    <col min="10501" max="10501" width="27.140625" bestFit="1" customWidth="1"/>
    <col min="10502" max="10502" width="13.140625" bestFit="1" customWidth="1"/>
    <col min="10753" max="10753" width="31.7109375" bestFit="1" customWidth="1"/>
    <col min="10754" max="10754" width="26.7109375" bestFit="1" customWidth="1"/>
    <col min="10755" max="10755" width="34.140625" customWidth="1"/>
    <col min="10756" max="10756" width="14.42578125" bestFit="1" customWidth="1"/>
    <col min="10757" max="10757" width="27.140625" bestFit="1" customWidth="1"/>
    <col min="10758" max="10758" width="13.140625" bestFit="1" customWidth="1"/>
    <col min="11009" max="11009" width="31.7109375" bestFit="1" customWidth="1"/>
    <col min="11010" max="11010" width="26.7109375" bestFit="1" customWidth="1"/>
    <col min="11011" max="11011" width="34.140625" customWidth="1"/>
    <col min="11012" max="11012" width="14.42578125" bestFit="1" customWidth="1"/>
    <col min="11013" max="11013" width="27.140625" bestFit="1" customWidth="1"/>
    <col min="11014" max="11014" width="13.140625" bestFit="1" customWidth="1"/>
    <col min="11265" max="11265" width="31.7109375" bestFit="1" customWidth="1"/>
    <col min="11266" max="11266" width="26.7109375" bestFit="1" customWidth="1"/>
    <col min="11267" max="11267" width="34.140625" customWidth="1"/>
    <col min="11268" max="11268" width="14.42578125" bestFit="1" customWidth="1"/>
    <col min="11269" max="11269" width="27.140625" bestFit="1" customWidth="1"/>
    <col min="11270" max="11270" width="13.140625" bestFit="1" customWidth="1"/>
    <col min="11521" max="11521" width="31.7109375" bestFit="1" customWidth="1"/>
    <col min="11522" max="11522" width="26.7109375" bestFit="1" customWidth="1"/>
    <col min="11523" max="11523" width="34.140625" customWidth="1"/>
    <col min="11524" max="11524" width="14.42578125" bestFit="1" customWidth="1"/>
    <col min="11525" max="11525" width="27.140625" bestFit="1" customWidth="1"/>
    <col min="11526" max="11526" width="13.140625" bestFit="1" customWidth="1"/>
    <col min="11777" max="11777" width="31.7109375" bestFit="1" customWidth="1"/>
    <col min="11778" max="11778" width="26.7109375" bestFit="1" customWidth="1"/>
    <col min="11779" max="11779" width="34.140625" customWidth="1"/>
    <col min="11780" max="11780" width="14.42578125" bestFit="1" customWidth="1"/>
    <col min="11781" max="11781" width="27.140625" bestFit="1" customWidth="1"/>
    <col min="11782" max="11782" width="13.140625" bestFit="1" customWidth="1"/>
    <col min="12033" max="12033" width="31.7109375" bestFit="1" customWidth="1"/>
    <col min="12034" max="12034" width="26.7109375" bestFit="1" customWidth="1"/>
    <col min="12035" max="12035" width="34.140625" customWidth="1"/>
    <col min="12036" max="12036" width="14.42578125" bestFit="1" customWidth="1"/>
    <col min="12037" max="12037" width="27.140625" bestFit="1" customWidth="1"/>
    <col min="12038" max="12038" width="13.140625" bestFit="1" customWidth="1"/>
    <col min="12289" max="12289" width="31.7109375" bestFit="1" customWidth="1"/>
    <col min="12290" max="12290" width="26.7109375" bestFit="1" customWidth="1"/>
    <col min="12291" max="12291" width="34.140625" customWidth="1"/>
    <col min="12292" max="12292" width="14.42578125" bestFit="1" customWidth="1"/>
    <col min="12293" max="12293" width="27.140625" bestFit="1" customWidth="1"/>
    <col min="12294" max="12294" width="13.140625" bestFit="1" customWidth="1"/>
    <col min="12545" max="12545" width="31.7109375" bestFit="1" customWidth="1"/>
    <col min="12546" max="12546" width="26.7109375" bestFit="1" customWidth="1"/>
    <col min="12547" max="12547" width="34.140625" customWidth="1"/>
    <col min="12548" max="12548" width="14.42578125" bestFit="1" customWidth="1"/>
    <col min="12549" max="12549" width="27.140625" bestFit="1" customWidth="1"/>
    <col min="12550" max="12550" width="13.140625" bestFit="1" customWidth="1"/>
    <col min="12801" max="12801" width="31.7109375" bestFit="1" customWidth="1"/>
    <col min="12802" max="12802" width="26.7109375" bestFit="1" customWidth="1"/>
    <col min="12803" max="12803" width="34.140625" customWidth="1"/>
    <col min="12804" max="12804" width="14.42578125" bestFit="1" customWidth="1"/>
    <col min="12805" max="12805" width="27.140625" bestFit="1" customWidth="1"/>
    <col min="12806" max="12806" width="13.140625" bestFit="1" customWidth="1"/>
    <col min="13057" max="13057" width="31.7109375" bestFit="1" customWidth="1"/>
    <col min="13058" max="13058" width="26.7109375" bestFit="1" customWidth="1"/>
    <col min="13059" max="13059" width="34.140625" customWidth="1"/>
    <col min="13060" max="13060" width="14.42578125" bestFit="1" customWidth="1"/>
    <col min="13061" max="13061" width="27.140625" bestFit="1" customWidth="1"/>
    <col min="13062" max="13062" width="13.140625" bestFit="1" customWidth="1"/>
    <col min="13313" max="13313" width="31.7109375" bestFit="1" customWidth="1"/>
    <col min="13314" max="13314" width="26.7109375" bestFit="1" customWidth="1"/>
    <col min="13315" max="13315" width="34.140625" customWidth="1"/>
    <col min="13316" max="13316" width="14.42578125" bestFit="1" customWidth="1"/>
    <col min="13317" max="13317" width="27.140625" bestFit="1" customWidth="1"/>
    <col min="13318" max="13318" width="13.140625" bestFit="1" customWidth="1"/>
    <col min="13569" max="13569" width="31.7109375" bestFit="1" customWidth="1"/>
    <col min="13570" max="13570" width="26.7109375" bestFit="1" customWidth="1"/>
    <col min="13571" max="13571" width="34.140625" customWidth="1"/>
    <col min="13572" max="13572" width="14.42578125" bestFit="1" customWidth="1"/>
    <col min="13573" max="13573" width="27.140625" bestFit="1" customWidth="1"/>
    <col min="13574" max="13574" width="13.140625" bestFit="1" customWidth="1"/>
    <col min="13825" max="13825" width="31.7109375" bestFit="1" customWidth="1"/>
    <col min="13826" max="13826" width="26.7109375" bestFit="1" customWidth="1"/>
    <col min="13827" max="13827" width="34.140625" customWidth="1"/>
    <col min="13828" max="13828" width="14.42578125" bestFit="1" customWidth="1"/>
    <col min="13829" max="13829" width="27.140625" bestFit="1" customWidth="1"/>
    <col min="13830" max="13830" width="13.140625" bestFit="1" customWidth="1"/>
    <col min="14081" max="14081" width="31.7109375" bestFit="1" customWidth="1"/>
    <col min="14082" max="14082" width="26.7109375" bestFit="1" customWidth="1"/>
    <col min="14083" max="14083" width="34.140625" customWidth="1"/>
    <col min="14084" max="14084" width="14.42578125" bestFit="1" customWidth="1"/>
    <col min="14085" max="14085" width="27.140625" bestFit="1" customWidth="1"/>
    <col min="14086" max="14086" width="13.140625" bestFit="1" customWidth="1"/>
    <col min="14337" max="14337" width="31.7109375" bestFit="1" customWidth="1"/>
    <col min="14338" max="14338" width="26.7109375" bestFit="1" customWidth="1"/>
    <col min="14339" max="14339" width="34.140625" customWidth="1"/>
    <col min="14340" max="14340" width="14.42578125" bestFit="1" customWidth="1"/>
    <col min="14341" max="14341" width="27.140625" bestFit="1" customWidth="1"/>
    <col min="14342" max="14342" width="13.140625" bestFit="1" customWidth="1"/>
    <col min="14593" max="14593" width="31.7109375" bestFit="1" customWidth="1"/>
    <col min="14594" max="14594" width="26.7109375" bestFit="1" customWidth="1"/>
    <col min="14595" max="14595" width="34.140625" customWidth="1"/>
    <col min="14596" max="14596" width="14.42578125" bestFit="1" customWidth="1"/>
    <col min="14597" max="14597" width="27.140625" bestFit="1" customWidth="1"/>
    <col min="14598" max="14598" width="13.140625" bestFit="1" customWidth="1"/>
    <col min="14849" max="14849" width="31.7109375" bestFit="1" customWidth="1"/>
    <col min="14850" max="14850" width="26.7109375" bestFit="1" customWidth="1"/>
    <col min="14851" max="14851" width="34.140625" customWidth="1"/>
    <col min="14852" max="14852" width="14.42578125" bestFit="1" customWidth="1"/>
    <col min="14853" max="14853" width="27.140625" bestFit="1" customWidth="1"/>
    <col min="14854" max="14854" width="13.140625" bestFit="1" customWidth="1"/>
    <col min="15105" max="15105" width="31.7109375" bestFit="1" customWidth="1"/>
    <col min="15106" max="15106" width="26.7109375" bestFit="1" customWidth="1"/>
    <col min="15107" max="15107" width="34.140625" customWidth="1"/>
    <col min="15108" max="15108" width="14.42578125" bestFit="1" customWidth="1"/>
    <col min="15109" max="15109" width="27.140625" bestFit="1" customWidth="1"/>
    <col min="15110" max="15110" width="13.140625" bestFit="1" customWidth="1"/>
    <col min="15361" max="15361" width="31.7109375" bestFit="1" customWidth="1"/>
    <col min="15362" max="15362" width="26.7109375" bestFit="1" customWidth="1"/>
    <col min="15363" max="15363" width="34.140625" customWidth="1"/>
    <col min="15364" max="15364" width="14.42578125" bestFit="1" customWidth="1"/>
    <col min="15365" max="15365" width="27.140625" bestFit="1" customWidth="1"/>
    <col min="15366" max="15366" width="13.140625" bestFit="1" customWidth="1"/>
    <col min="15617" max="15617" width="31.7109375" bestFit="1" customWidth="1"/>
    <col min="15618" max="15618" width="26.7109375" bestFit="1" customWidth="1"/>
    <col min="15619" max="15619" width="34.140625" customWidth="1"/>
    <col min="15620" max="15620" width="14.42578125" bestFit="1" customWidth="1"/>
    <col min="15621" max="15621" width="27.140625" bestFit="1" customWidth="1"/>
    <col min="15622" max="15622" width="13.140625" bestFit="1" customWidth="1"/>
    <col min="15873" max="15873" width="31.7109375" bestFit="1" customWidth="1"/>
    <col min="15874" max="15874" width="26.7109375" bestFit="1" customWidth="1"/>
    <col min="15875" max="15875" width="34.140625" customWidth="1"/>
    <col min="15876" max="15876" width="14.42578125" bestFit="1" customWidth="1"/>
    <col min="15877" max="15877" width="27.140625" bestFit="1" customWidth="1"/>
    <col min="15878" max="15878" width="13.140625" bestFit="1" customWidth="1"/>
    <col min="16129" max="16129" width="31.7109375" bestFit="1" customWidth="1"/>
    <col min="16130" max="16130" width="26.7109375" bestFit="1" customWidth="1"/>
    <col min="16131" max="16131" width="34.140625" customWidth="1"/>
    <col min="16132" max="16132" width="14.42578125" bestFit="1" customWidth="1"/>
    <col min="16133" max="16133" width="27.140625" bestFit="1" customWidth="1"/>
    <col min="16134" max="16134" width="13.140625" bestFit="1" customWidth="1"/>
  </cols>
  <sheetData>
    <row r="1" spans="1:7" x14ac:dyDescent="0.25">
      <c r="A1" s="37" t="s">
        <v>0</v>
      </c>
      <c r="B1" s="37"/>
      <c r="C1" s="37"/>
      <c r="D1" s="37"/>
      <c r="E1" s="37"/>
      <c r="F1" s="37"/>
      <c r="G1" t="s">
        <v>1</v>
      </c>
    </row>
    <row r="2" spans="1:7" x14ac:dyDescent="0.25">
      <c r="A2" s="31" t="s">
        <v>2</v>
      </c>
      <c r="B2" s="31"/>
      <c r="C2" s="31"/>
      <c r="D2" s="31"/>
      <c r="E2" s="31"/>
      <c r="F2" s="31"/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7" x14ac:dyDescent="0.25">
      <c r="A4" s="1" t="s">
        <v>9</v>
      </c>
      <c r="B4" s="1">
        <v>20</v>
      </c>
      <c r="C4" s="1" t="s">
        <v>10</v>
      </c>
      <c r="D4" s="1"/>
      <c r="E4" s="1"/>
      <c r="F4" s="1"/>
    </row>
    <row r="5" spans="1:7" x14ac:dyDescent="0.25">
      <c r="A5" s="18" t="s">
        <v>11</v>
      </c>
      <c r="B5" s="19"/>
      <c r="C5" s="19"/>
      <c r="D5" s="19"/>
      <c r="E5" s="19"/>
      <c r="F5" s="20"/>
    </row>
    <row r="6" spans="1:7" x14ac:dyDescent="0.25">
      <c r="A6" s="1" t="s">
        <v>12</v>
      </c>
      <c r="B6" s="1">
        <v>10</v>
      </c>
      <c r="C6" s="1" t="s">
        <v>13</v>
      </c>
      <c r="D6" s="2">
        <v>0.12</v>
      </c>
      <c r="E6" s="1" t="s">
        <v>14</v>
      </c>
      <c r="F6" s="2">
        <v>0.85</v>
      </c>
    </row>
    <row r="7" spans="1:7" x14ac:dyDescent="0.25">
      <c r="A7" s="1" t="s">
        <v>15</v>
      </c>
      <c r="B7" s="2">
        <v>0.8</v>
      </c>
      <c r="C7" s="1" t="s">
        <v>16</v>
      </c>
      <c r="D7" s="1">
        <v>150</v>
      </c>
      <c r="E7" s="1" t="s">
        <v>17</v>
      </c>
      <c r="F7" s="1"/>
    </row>
    <row r="8" spans="1:7" x14ac:dyDescent="0.25">
      <c r="A8" s="1" t="s">
        <v>18</v>
      </c>
      <c r="B8" s="1">
        <v>100</v>
      </c>
      <c r="C8" s="1" t="s">
        <v>19</v>
      </c>
      <c r="D8" s="1">
        <v>75</v>
      </c>
      <c r="E8" s="1" t="s">
        <v>20</v>
      </c>
      <c r="F8" s="1">
        <v>50</v>
      </c>
    </row>
    <row r="9" spans="1:7" x14ac:dyDescent="0.25">
      <c r="A9" s="18" t="s">
        <v>21</v>
      </c>
      <c r="B9" s="19"/>
      <c r="C9" s="19"/>
      <c r="D9" s="19"/>
      <c r="E9" s="19"/>
      <c r="F9" s="20"/>
    </row>
    <row r="10" spans="1:7" x14ac:dyDescent="0.25">
      <c r="A10" s="3" t="s">
        <v>22</v>
      </c>
      <c r="B10" s="3" t="s">
        <v>23</v>
      </c>
      <c r="C10" s="18" t="s">
        <v>24</v>
      </c>
      <c r="D10" s="19"/>
      <c r="E10" s="19"/>
      <c r="F10" s="20"/>
    </row>
    <row r="11" spans="1:7" x14ac:dyDescent="0.25">
      <c r="A11" s="1" t="s">
        <v>25</v>
      </c>
      <c r="B11" s="1">
        <v>18649220</v>
      </c>
      <c r="C11" s="18"/>
      <c r="D11" s="19"/>
      <c r="E11" s="19"/>
      <c r="F11" s="20"/>
    </row>
    <row r="12" spans="1:7" x14ac:dyDescent="0.25">
      <c r="A12" s="1" t="s">
        <v>26</v>
      </c>
      <c r="B12" s="1">
        <f>B11*5%</f>
        <v>932461</v>
      </c>
      <c r="C12" s="18"/>
      <c r="D12" s="19"/>
      <c r="E12" s="19"/>
      <c r="F12" s="20"/>
    </row>
    <row r="13" spans="1:7" x14ac:dyDescent="0.25">
      <c r="A13" s="4" t="s">
        <v>27</v>
      </c>
      <c r="B13" s="5">
        <v>100000</v>
      </c>
      <c r="C13" s="18"/>
      <c r="D13" s="19"/>
      <c r="E13" s="19"/>
      <c r="F13" s="20"/>
    </row>
    <row r="14" spans="1:7" x14ac:dyDescent="0.25">
      <c r="A14" s="6" t="s">
        <v>28</v>
      </c>
      <c r="B14" s="7">
        <f>SUM(B11:B12)</f>
        <v>19581681</v>
      </c>
      <c r="C14" s="8"/>
      <c r="D14" s="8"/>
      <c r="E14" s="8"/>
      <c r="F14" s="9"/>
    </row>
    <row r="15" spans="1:7" x14ac:dyDescent="0.25">
      <c r="A15" s="18" t="s">
        <v>29</v>
      </c>
      <c r="B15" s="19"/>
      <c r="C15" s="19"/>
      <c r="D15" s="19"/>
      <c r="E15" s="19"/>
      <c r="F15" s="20"/>
    </row>
    <row r="16" spans="1:7" x14ac:dyDescent="0.25">
      <c r="A16" s="10" t="s">
        <v>30</v>
      </c>
      <c r="B16" s="11">
        <f>B11*5%</f>
        <v>932461</v>
      </c>
      <c r="C16" s="34"/>
      <c r="D16" s="34"/>
      <c r="E16" s="34"/>
      <c r="F16" s="34"/>
    </row>
    <row r="17" spans="1:6" x14ac:dyDescent="0.25">
      <c r="A17" s="18" t="s">
        <v>31</v>
      </c>
      <c r="B17" s="19"/>
      <c r="C17" s="19"/>
      <c r="D17" s="19"/>
      <c r="E17" s="19"/>
      <c r="F17" s="11">
        <f>SUM(E19:E21)</f>
        <v>454000</v>
      </c>
    </row>
    <row r="18" spans="1:6" x14ac:dyDescent="0.25">
      <c r="A18" s="12" t="s">
        <v>32</v>
      </c>
      <c r="B18" s="12" t="s">
        <v>33</v>
      </c>
      <c r="C18" s="12" t="s">
        <v>34</v>
      </c>
      <c r="D18" s="12" t="s">
        <v>35</v>
      </c>
      <c r="E18" s="12" t="s">
        <v>36</v>
      </c>
      <c r="F18" s="12"/>
    </row>
    <row r="19" spans="1:6" x14ac:dyDescent="0.25">
      <c r="A19" s="12" t="s">
        <v>37</v>
      </c>
      <c r="B19" s="12">
        <v>120</v>
      </c>
      <c r="C19" s="12" t="s">
        <v>38</v>
      </c>
      <c r="D19" s="12">
        <v>2000</v>
      </c>
      <c r="E19" s="12">
        <f>D19*B19</f>
        <v>240000</v>
      </c>
      <c r="F19" s="12"/>
    </row>
    <row r="20" spans="1:6" x14ac:dyDescent="0.25">
      <c r="A20" s="12" t="s">
        <v>39</v>
      </c>
      <c r="B20" s="12">
        <v>70</v>
      </c>
      <c r="C20" s="12" t="s">
        <v>38</v>
      </c>
      <c r="D20" s="12">
        <v>3000</v>
      </c>
      <c r="E20" s="12">
        <f>D20*B20</f>
        <v>210000</v>
      </c>
      <c r="F20" s="12"/>
    </row>
    <row r="21" spans="1:6" x14ac:dyDescent="0.25">
      <c r="A21" s="12" t="s">
        <v>40</v>
      </c>
      <c r="B21" s="12">
        <v>40</v>
      </c>
      <c r="C21" s="12" t="s">
        <v>41</v>
      </c>
      <c r="D21" s="12">
        <v>100</v>
      </c>
      <c r="E21" s="12">
        <f>D21*B21</f>
        <v>4000</v>
      </c>
      <c r="F21" s="12"/>
    </row>
    <row r="22" spans="1:6" x14ac:dyDescent="0.25">
      <c r="A22" s="35" t="s">
        <v>42</v>
      </c>
      <c r="B22" s="36"/>
      <c r="C22" s="36"/>
      <c r="D22" s="36"/>
      <c r="E22" s="36"/>
      <c r="F22" s="11">
        <f>SUM(E24:E25)</f>
        <v>700000</v>
      </c>
    </row>
    <row r="23" spans="1:6" x14ac:dyDescent="0.25">
      <c r="A23" s="12" t="s">
        <v>32</v>
      </c>
      <c r="B23" s="12" t="s">
        <v>33</v>
      </c>
      <c r="C23" s="12" t="s">
        <v>34</v>
      </c>
      <c r="D23" s="12" t="s">
        <v>35</v>
      </c>
      <c r="E23" s="12" t="s">
        <v>43</v>
      </c>
      <c r="F23" s="12"/>
    </row>
    <row r="24" spans="1:6" x14ac:dyDescent="0.25">
      <c r="A24" s="12" t="s">
        <v>44</v>
      </c>
      <c r="B24" s="12">
        <v>400000</v>
      </c>
      <c r="C24" s="12" t="s">
        <v>45</v>
      </c>
      <c r="D24" s="12">
        <v>1</v>
      </c>
      <c r="E24" s="12">
        <f>D24*B24</f>
        <v>400000</v>
      </c>
      <c r="F24" s="12"/>
    </row>
    <row r="25" spans="1:6" x14ac:dyDescent="0.25">
      <c r="A25" s="12" t="s">
        <v>46</v>
      </c>
      <c r="B25" s="12">
        <v>600</v>
      </c>
      <c r="C25" s="12" t="s">
        <v>45</v>
      </c>
      <c r="D25" s="12">
        <v>500</v>
      </c>
      <c r="E25" s="12">
        <f>D25*B25</f>
        <v>300000</v>
      </c>
      <c r="F25" s="12"/>
    </row>
    <row r="26" spans="1:6" x14ac:dyDescent="0.25">
      <c r="A26" s="12"/>
      <c r="B26" s="12"/>
      <c r="C26" s="12"/>
      <c r="D26" s="12"/>
      <c r="E26" s="12"/>
      <c r="F26" s="12"/>
    </row>
    <row r="27" spans="1:6" x14ac:dyDescent="0.25">
      <c r="A27" s="31" t="s">
        <v>47</v>
      </c>
      <c r="B27" s="31"/>
      <c r="C27" s="31"/>
      <c r="D27" s="31"/>
      <c r="E27" s="31"/>
      <c r="F27" s="31"/>
    </row>
    <row r="28" spans="1:6" x14ac:dyDescent="0.25">
      <c r="A28" s="1" t="s">
        <v>48</v>
      </c>
      <c r="B28" s="1" t="s">
        <v>49</v>
      </c>
      <c r="C28" s="1" t="s">
        <v>34</v>
      </c>
      <c r="D28" s="32" t="s">
        <v>50</v>
      </c>
      <c r="E28" s="33"/>
      <c r="F28" s="1" t="s">
        <v>51</v>
      </c>
    </row>
    <row r="29" spans="1:6" x14ac:dyDescent="0.25">
      <c r="A29" s="1" t="s">
        <v>52</v>
      </c>
      <c r="B29" s="1">
        <v>7.8</v>
      </c>
      <c r="C29" s="1" t="s">
        <v>53</v>
      </c>
      <c r="D29" s="32">
        <v>11</v>
      </c>
      <c r="E29" s="33"/>
      <c r="F29" s="1">
        <f>D29*B29</f>
        <v>85.8</v>
      </c>
    </row>
    <row r="30" spans="1:6" x14ac:dyDescent="0.25">
      <c r="A30" s="1" t="s">
        <v>54</v>
      </c>
      <c r="B30" s="1">
        <v>54</v>
      </c>
      <c r="C30" s="1" t="s">
        <v>38</v>
      </c>
      <c r="D30" s="32">
        <v>0</v>
      </c>
      <c r="E30" s="33"/>
      <c r="F30" s="1">
        <f>D30*B30</f>
        <v>0</v>
      </c>
    </row>
    <row r="31" spans="1:6" x14ac:dyDescent="0.25">
      <c r="A31" s="1" t="s">
        <v>55</v>
      </c>
      <c r="B31" s="1">
        <v>27</v>
      </c>
      <c r="C31" s="1" t="s">
        <v>38</v>
      </c>
      <c r="D31" s="32">
        <v>0</v>
      </c>
      <c r="E31" s="33"/>
      <c r="F31" s="1">
        <f>D31*B31</f>
        <v>0</v>
      </c>
    </row>
    <row r="32" spans="1:6" x14ac:dyDescent="0.25">
      <c r="A32" s="18" t="s">
        <v>56</v>
      </c>
      <c r="B32" s="19"/>
      <c r="C32" s="19"/>
      <c r="D32" s="19"/>
      <c r="E32" s="19"/>
      <c r="F32" s="20"/>
    </row>
    <row r="33" spans="1:13" x14ac:dyDescent="0.25">
      <c r="A33" s="1" t="s">
        <v>57</v>
      </c>
      <c r="B33" s="1" t="s">
        <v>58</v>
      </c>
      <c r="C33" s="1" t="s">
        <v>59</v>
      </c>
      <c r="D33" s="1" t="s">
        <v>60</v>
      </c>
      <c r="E33" s="21" t="s">
        <v>56</v>
      </c>
      <c r="F33" s="23"/>
    </row>
    <row r="34" spans="1:13" x14ac:dyDescent="0.25">
      <c r="A34" s="1" t="s">
        <v>61</v>
      </c>
      <c r="B34" s="1">
        <v>1</v>
      </c>
      <c r="C34" s="1">
        <v>0</v>
      </c>
      <c r="D34" s="1">
        <v>0</v>
      </c>
      <c r="E34" s="26">
        <f>(B34*B8)+(C34*D8)+(D34*F8)/B7</f>
        <v>100</v>
      </c>
      <c r="F34" s="27"/>
    </row>
    <row r="35" spans="1:13" x14ac:dyDescent="0.25">
      <c r="A35" s="18" t="s">
        <v>62</v>
      </c>
      <c r="B35" s="19"/>
      <c r="C35" s="19"/>
      <c r="D35" s="19"/>
      <c r="E35" s="19"/>
      <c r="F35" s="20"/>
    </row>
    <row r="36" spans="1:13" x14ac:dyDescent="0.25">
      <c r="A36" s="1" t="s">
        <v>63</v>
      </c>
      <c r="B36" s="1">
        <v>2</v>
      </c>
      <c r="C36" s="13" t="s">
        <v>64</v>
      </c>
      <c r="D36" s="1">
        <v>8</v>
      </c>
      <c r="E36" s="13" t="s">
        <v>65</v>
      </c>
      <c r="F36" s="11">
        <f>365-52-12-6</f>
        <v>295</v>
      </c>
    </row>
    <row r="37" spans="1:13" x14ac:dyDescent="0.25">
      <c r="A37" s="1" t="s">
        <v>66</v>
      </c>
      <c r="B37" s="11">
        <f>B36*D36*F36*F6</f>
        <v>4012</v>
      </c>
      <c r="C37" s="1" t="s">
        <v>67</v>
      </c>
      <c r="D37" s="11">
        <f>((B11+B12)/B6)+(B11*D6)+(B16)+(D7*B4*12)</f>
        <v>5164535.5</v>
      </c>
      <c r="E37" s="1" t="s">
        <v>68</v>
      </c>
      <c r="F37" s="11">
        <f>(E34*B37)+((F29+F30+F31)*B37)</f>
        <v>745429.6</v>
      </c>
    </row>
    <row r="38" spans="1:13" x14ac:dyDescent="0.25">
      <c r="A38" s="18" t="s">
        <v>69</v>
      </c>
      <c r="B38" s="19"/>
      <c r="C38" s="19"/>
      <c r="D38" s="19"/>
      <c r="E38" s="19"/>
      <c r="F38" s="20"/>
    </row>
    <row r="39" spans="1:13" x14ac:dyDescent="0.25">
      <c r="A39" s="1" t="s">
        <v>70</v>
      </c>
      <c r="B39" s="14">
        <f>(D37+F37)/B37</f>
        <v>1473.0720588235292</v>
      </c>
      <c r="C39" s="1" t="s">
        <v>71</v>
      </c>
      <c r="D39" s="15">
        <f>B39/60</f>
        <v>24.551200980392153</v>
      </c>
      <c r="E39" s="1" t="s">
        <v>72</v>
      </c>
      <c r="F39" s="15">
        <f>B39*8</f>
        <v>11784.576470588234</v>
      </c>
    </row>
    <row r="40" spans="1:13" x14ac:dyDescent="0.25">
      <c r="A40" s="1" t="s">
        <v>73</v>
      </c>
      <c r="B40" s="21">
        <v>25</v>
      </c>
      <c r="C40" s="22"/>
      <c r="D40" s="22"/>
      <c r="E40" s="22"/>
      <c r="F40" s="23"/>
    </row>
    <row r="41" spans="1:13" x14ac:dyDescent="0.25">
      <c r="A41" s="1" t="s">
        <v>74</v>
      </c>
      <c r="B41" s="28">
        <f>D39*B40</f>
        <v>613.78002450980387</v>
      </c>
      <c r="C41" s="29"/>
      <c r="D41" s="29"/>
      <c r="E41" s="29"/>
      <c r="F41" s="30"/>
      <c r="G41" s="16"/>
      <c r="H41" s="16"/>
      <c r="I41" s="16"/>
      <c r="J41" s="16"/>
      <c r="K41" s="16"/>
      <c r="L41" s="16"/>
      <c r="M41" s="16"/>
    </row>
    <row r="42" spans="1:13" x14ac:dyDescent="0.25">
      <c r="A42" s="18" t="s">
        <v>75</v>
      </c>
      <c r="B42" s="19"/>
      <c r="C42" s="19"/>
      <c r="D42" s="19"/>
      <c r="E42" s="19"/>
      <c r="F42" s="20"/>
      <c r="G42" s="16"/>
      <c r="H42" s="16"/>
      <c r="I42" s="16"/>
    </row>
    <row r="43" spans="1:13" x14ac:dyDescent="0.25">
      <c r="A43" s="1" t="s">
        <v>76</v>
      </c>
      <c r="B43" s="21">
        <v>45</v>
      </c>
      <c r="C43" s="22"/>
      <c r="D43" s="22"/>
      <c r="E43" s="22"/>
      <c r="F43" s="23"/>
      <c r="G43" s="16"/>
      <c r="H43" s="16"/>
      <c r="I43" s="16"/>
      <c r="J43" s="17"/>
      <c r="K43" s="16"/>
    </row>
    <row r="44" spans="1:13" x14ac:dyDescent="0.25">
      <c r="A44" s="1" t="s">
        <v>57</v>
      </c>
      <c r="B44" s="1" t="s">
        <v>58</v>
      </c>
      <c r="C44" s="1" t="s">
        <v>59</v>
      </c>
      <c r="D44" s="1" t="s">
        <v>60</v>
      </c>
      <c r="E44" s="21" t="s">
        <v>77</v>
      </c>
      <c r="F44" s="23"/>
    </row>
    <row r="45" spans="1:13" x14ac:dyDescent="0.25">
      <c r="A45" s="1" t="s">
        <v>61</v>
      </c>
      <c r="B45" s="1">
        <v>1</v>
      </c>
      <c r="C45" s="1">
        <v>0</v>
      </c>
      <c r="D45" s="1">
        <v>0</v>
      </c>
      <c r="E45" s="24">
        <f>(B43*D39)+(B45*B8)+(D45*F8)+(C45*D8)</f>
        <v>1204.804044117647</v>
      </c>
      <c r="F45" s="25"/>
    </row>
  </sheetData>
  <mergeCells count="28">
    <mergeCell ref="C11:F11"/>
    <mergeCell ref="A1:F1"/>
    <mergeCell ref="A2:F2"/>
    <mergeCell ref="A5:F5"/>
    <mergeCell ref="A9:F9"/>
    <mergeCell ref="C10:F10"/>
    <mergeCell ref="A32:F32"/>
    <mergeCell ref="C12:F12"/>
    <mergeCell ref="C13:F13"/>
    <mergeCell ref="A15:F15"/>
    <mergeCell ref="C16:F16"/>
    <mergeCell ref="A17:E17"/>
    <mergeCell ref="A22:E22"/>
    <mergeCell ref="A27:F27"/>
    <mergeCell ref="D28:E28"/>
    <mergeCell ref="D29:E29"/>
    <mergeCell ref="D30:E30"/>
    <mergeCell ref="D31:E31"/>
    <mergeCell ref="A42:F42"/>
    <mergeCell ref="B43:F43"/>
    <mergeCell ref="E44:F44"/>
    <mergeCell ref="E45:F45"/>
    <mergeCell ref="E33:F33"/>
    <mergeCell ref="E34:F34"/>
    <mergeCell ref="A35:F35"/>
    <mergeCell ref="A38:F38"/>
    <mergeCell ref="B40:F40"/>
    <mergeCell ref="B41:F4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27DE19596BE4AAE2E0E6FA86D17EE" ma:contentTypeVersion="20" ma:contentTypeDescription="Create a new document." ma:contentTypeScope="" ma:versionID="5bb0f93c229ea113d746b6b29bc34c6e">
  <xsd:schema xmlns:xsd="http://www.w3.org/2001/XMLSchema" xmlns:xs="http://www.w3.org/2001/XMLSchema" xmlns:p="http://schemas.microsoft.com/office/2006/metadata/properties" xmlns:ns2="19b22dc6-87e6-4dbe-8744-e2116ed56044" xmlns:ns3="2763d673-7b45-45da-9b2f-702f33aec4e6" targetNamespace="http://schemas.microsoft.com/office/2006/metadata/properties" ma:root="true" ma:fieldsID="13ab5334e00f441e8de5c1a0190a4c67" ns2:_="" ns3:_="">
    <xsd:import namespace="19b22dc6-87e6-4dbe-8744-e2116ed56044"/>
    <xsd:import namespace="2763d673-7b45-45da-9b2f-702f33aec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22dc6-87e6-4dbe-8744-e2116ed56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2505fa-fe31-4319-891a-6f9076835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d673-7b45-45da-9b2f-702f33aec4e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b2cc04-6f5d-4268-bb92-01f5faf2dd51}" ma:internalName="TaxCatchAll" ma:showField="CatchAllData" ma:web="2763d673-7b45-45da-9b2f-702f33aec4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22dc6-87e6-4dbe-8744-e2116ed56044">
      <Terms xmlns="http://schemas.microsoft.com/office/infopath/2007/PartnerControls"/>
    </lcf76f155ced4ddcb4097134ff3c332f>
    <TaxCatchAll xmlns="2763d673-7b45-45da-9b2f-702f33aec4e6" xsi:nil="true"/>
    <Date xmlns="19b22dc6-87e6-4dbe-8744-e2116ed56044" xsi:nil="true"/>
  </documentManagement>
</p:properties>
</file>

<file path=customXml/itemProps1.xml><?xml version="1.0" encoding="utf-8"?>
<ds:datastoreItem xmlns:ds="http://schemas.openxmlformats.org/officeDocument/2006/customXml" ds:itemID="{69BF3543-D1BA-4CC9-9008-45425F6866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FAE3EA-4632-4E70-B8CC-B449BE0253EE}"/>
</file>

<file path=customXml/itemProps3.xml><?xml version="1.0" encoding="utf-8"?>
<ds:datastoreItem xmlns:ds="http://schemas.openxmlformats.org/officeDocument/2006/customXml" ds:itemID="{5F8329D8-AF9D-4C6E-9C36-7C0194C5C1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Norms -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 C B (Product Costing - PD)</dc:creator>
  <cp:lastModifiedBy>Parthiban C (Product Costing)</cp:lastModifiedBy>
  <dcterms:created xsi:type="dcterms:W3CDTF">2019-11-07T05:23:31Z</dcterms:created>
  <dcterms:modified xsi:type="dcterms:W3CDTF">2022-07-11T08:35:01Z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0x010100A0127DE19596BE4AAE2E0E6FA86D17EE</vt:lpwstr>
  </property>
</Properties>
</file>