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8_{1A2940B2-453B-4BDD-B595-D1B02D998D75}" xr6:coauthVersionLast="36" xr6:coauthVersionMax="36" xr10:uidLastSave="{00000000-0000-0000-0000-000000000000}"/>
  <bookViews>
    <workbookView xWindow="0" yWindow="0" windowWidth="28800" windowHeight="11505" xr2:uid="{2C318289-5DFB-48A1-881A-A8A71516FA6A}"/>
  </bookViews>
  <sheets>
    <sheet name="ABS PART CALC" sheetId="1" r:id="rId1"/>
    <sheet name="CNC trimming cos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5" i="2" l="1"/>
  <c r="P65" i="2"/>
  <c r="M65" i="2"/>
  <c r="G65" i="2"/>
  <c r="F65" i="2"/>
  <c r="I65" i="2" s="1"/>
  <c r="J65" i="2" s="1"/>
  <c r="Q64" i="2"/>
  <c r="P64" i="2"/>
  <c r="M64" i="2"/>
  <c r="G64" i="2"/>
  <c r="F64" i="2"/>
  <c r="I64" i="2" s="1"/>
  <c r="J64" i="2" s="1"/>
  <c r="Q63" i="2"/>
  <c r="P63" i="2"/>
  <c r="M63" i="2"/>
  <c r="J63" i="2"/>
  <c r="I63" i="2"/>
  <c r="Q62" i="2"/>
  <c r="P62" i="2"/>
  <c r="M62" i="2"/>
  <c r="I62" i="2"/>
  <c r="J62" i="2" s="1"/>
  <c r="Q61" i="2"/>
  <c r="P61" i="2"/>
  <c r="M61" i="2"/>
  <c r="J61" i="2"/>
  <c r="I61" i="2"/>
  <c r="Q60" i="2"/>
  <c r="P60" i="2"/>
  <c r="M60" i="2"/>
  <c r="I60" i="2"/>
  <c r="J60" i="2" s="1"/>
  <c r="Q59" i="2"/>
  <c r="P59" i="2"/>
  <c r="M59" i="2"/>
  <c r="I59" i="2"/>
  <c r="J59" i="2" s="1"/>
  <c r="Q58" i="2"/>
  <c r="P58" i="2"/>
  <c r="M58" i="2"/>
  <c r="I58" i="2"/>
  <c r="J58" i="2" s="1"/>
  <c r="Q57" i="2"/>
  <c r="P57" i="2"/>
  <c r="M57" i="2"/>
  <c r="J57" i="2"/>
  <c r="I57" i="2"/>
  <c r="Q56" i="2"/>
  <c r="P56" i="2"/>
  <c r="M56" i="2"/>
  <c r="I56" i="2"/>
  <c r="J56" i="2" s="1"/>
  <c r="Q55" i="2"/>
  <c r="P55" i="2"/>
  <c r="M55" i="2"/>
  <c r="J55" i="2"/>
  <c r="I55" i="2"/>
  <c r="Q54" i="2"/>
  <c r="P54" i="2"/>
  <c r="M54" i="2"/>
  <c r="I54" i="2"/>
  <c r="J54" i="2" s="1"/>
  <c r="Q53" i="2"/>
  <c r="P53" i="2"/>
  <c r="M53" i="2"/>
  <c r="J53" i="2"/>
  <c r="I53" i="2"/>
  <c r="Q52" i="2"/>
  <c r="P52" i="2"/>
  <c r="M52" i="2"/>
  <c r="I52" i="2"/>
  <c r="J52" i="2" s="1"/>
  <c r="Q51" i="2"/>
  <c r="P51" i="2"/>
  <c r="M51" i="2"/>
  <c r="I51" i="2"/>
  <c r="J51" i="2" s="1"/>
  <c r="Q50" i="2"/>
  <c r="P50" i="2"/>
  <c r="M50" i="2"/>
  <c r="I50" i="2"/>
  <c r="J50" i="2" s="1"/>
  <c r="Q49" i="2"/>
  <c r="P49" i="2"/>
  <c r="M49" i="2"/>
  <c r="J49" i="2"/>
  <c r="I49" i="2"/>
  <c r="Q48" i="2"/>
  <c r="P48" i="2"/>
  <c r="M48" i="2"/>
  <c r="I48" i="2"/>
  <c r="J48" i="2" s="1"/>
  <c r="Q47" i="2"/>
  <c r="P47" i="2"/>
  <c r="M47" i="2"/>
  <c r="J47" i="2"/>
  <c r="I47" i="2"/>
  <c r="Q46" i="2"/>
  <c r="P46" i="2"/>
  <c r="M46" i="2"/>
  <c r="I46" i="2"/>
  <c r="J46" i="2" s="1"/>
  <c r="Q45" i="2"/>
  <c r="P45" i="2"/>
  <c r="M45" i="2"/>
  <c r="J45" i="2"/>
  <c r="I45" i="2"/>
  <c r="Q44" i="2"/>
  <c r="P44" i="2"/>
  <c r="M44" i="2"/>
  <c r="I44" i="2"/>
  <c r="J44" i="2" s="1"/>
  <c r="Q43" i="2"/>
  <c r="P43" i="2"/>
  <c r="M43" i="2"/>
  <c r="I43" i="2"/>
  <c r="J43" i="2" s="1"/>
  <c r="Q42" i="2"/>
  <c r="P42" i="2"/>
  <c r="M42" i="2"/>
  <c r="I42" i="2"/>
  <c r="J42" i="2" s="1"/>
  <c r="Q41" i="2"/>
  <c r="P41" i="2"/>
  <c r="M41" i="2"/>
  <c r="J41" i="2"/>
  <c r="I41" i="2"/>
  <c r="Q40" i="2"/>
  <c r="P40" i="2"/>
  <c r="M40" i="2"/>
  <c r="I40" i="2"/>
  <c r="J40" i="2" s="1"/>
  <c r="Q39" i="2"/>
  <c r="P39" i="2"/>
  <c r="M39" i="2"/>
  <c r="J39" i="2"/>
  <c r="I39" i="2"/>
  <c r="Q38" i="2"/>
  <c r="P38" i="2"/>
  <c r="M38" i="2"/>
  <c r="I38" i="2"/>
  <c r="J38" i="2" s="1"/>
  <c r="Q37" i="2"/>
  <c r="P37" i="2"/>
  <c r="M37" i="2"/>
  <c r="J37" i="2"/>
  <c r="I37" i="2"/>
  <c r="Q36" i="2"/>
  <c r="P36" i="2"/>
  <c r="M36" i="2"/>
  <c r="J36" i="2"/>
  <c r="I36" i="2"/>
  <c r="Q35" i="2"/>
  <c r="P35" i="2"/>
  <c r="M35" i="2"/>
  <c r="I35" i="2"/>
  <c r="J35" i="2" s="1"/>
  <c r="Q34" i="2"/>
  <c r="P34" i="2"/>
  <c r="M34" i="2"/>
  <c r="I34" i="2"/>
  <c r="J34" i="2" s="1"/>
  <c r="L34" i="2" s="1"/>
  <c r="N34" i="2" s="1"/>
  <c r="O34" i="2" s="1"/>
  <c r="Q33" i="2"/>
  <c r="P33" i="2"/>
  <c r="M33" i="2"/>
  <c r="J33" i="2"/>
  <c r="I33" i="2"/>
  <c r="Q32" i="2"/>
  <c r="P32" i="2"/>
  <c r="M32" i="2"/>
  <c r="I32" i="2"/>
  <c r="J32" i="2" s="1"/>
  <c r="Q31" i="2"/>
  <c r="P31" i="2"/>
  <c r="M31" i="2"/>
  <c r="J31" i="2"/>
  <c r="I31" i="2"/>
  <c r="Q30" i="2"/>
  <c r="P30" i="2"/>
  <c r="M30" i="2"/>
  <c r="I30" i="2"/>
  <c r="J30" i="2" s="1"/>
  <c r="Q29" i="2"/>
  <c r="P29" i="2"/>
  <c r="M29" i="2"/>
  <c r="J29" i="2"/>
  <c r="I29" i="2"/>
  <c r="Q28" i="2"/>
  <c r="P28" i="2"/>
  <c r="M28" i="2"/>
  <c r="I28" i="2"/>
  <c r="J28" i="2" s="1"/>
  <c r="Q27" i="2"/>
  <c r="P27" i="2"/>
  <c r="M27" i="2"/>
  <c r="I27" i="2"/>
  <c r="J27" i="2" s="1"/>
  <c r="Q26" i="2"/>
  <c r="P26" i="2"/>
  <c r="M26" i="2"/>
  <c r="I26" i="2"/>
  <c r="J26" i="2" s="1"/>
  <c r="Q25" i="2"/>
  <c r="P25" i="2"/>
  <c r="M25" i="2"/>
  <c r="J25" i="2"/>
  <c r="I25" i="2"/>
  <c r="Q24" i="2"/>
  <c r="P24" i="2"/>
  <c r="M24" i="2"/>
  <c r="I24" i="2"/>
  <c r="J24" i="2" s="1"/>
  <c r="Q23" i="2"/>
  <c r="P23" i="2"/>
  <c r="M23" i="2"/>
  <c r="J23" i="2"/>
  <c r="I23" i="2"/>
  <c r="Q22" i="2"/>
  <c r="P22" i="2"/>
  <c r="M22" i="2"/>
  <c r="I22" i="2"/>
  <c r="J22" i="2" s="1"/>
  <c r="Q21" i="2"/>
  <c r="P21" i="2"/>
  <c r="M21" i="2"/>
  <c r="J21" i="2"/>
  <c r="I21" i="2"/>
  <c r="Q20" i="2"/>
  <c r="P20" i="2"/>
  <c r="M20" i="2"/>
  <c r="I20" i="2"/>
  <c r="J20" i="2" s="1"/>
  <c r="Q19" i="2"/>
  <c r="P19" i="2"/>
  <c r="M19" i="2"/>
  <c r="I19" i="2"/>
  <c r="J19" i="2" s="1"/>
  <c r="Q18" i="2"/>
  <c r="P18" i="2"/>
  <c r="M18" i="2"/>
  <c r="I18" i="2"/>
  <c r="J18" i="2" s="1"/>
  <c r="Q17" i="2"/>
  <c r="P17" i="2"/>
  <c r="M17" i="2"/>
  <c r="J17" i="2"/>
  <c r="I17" i="2"/>
  <c r="Q16" i="2"/>
  <c r="P16" i="2"/>
  <c r="M16" i="2"/>
  <c r="I16" i="2"/>
  <c r="J16" i="2" s="1"/>
  <c r="Q15" i="2"/>
  <c r="P15" i="2"/>
  <c r="M15" i="2"/>
  <c r="J15" i="2"/>
  <c r="I15" i="2"/>
  <c r="Q14" i="2"/>
  <c r="P14" i="2"/>
  <c r="M14" i="2"/>
  <c r="I14" i="2"/>
  <c r="J14" i="2" s="1"/>
  <c r="L14" i="2" s="1"/>
  <c r="N14" i="2" s="1"/>
  <c r="O14" i="2" s="1"/>
  <c r="R14" i="2" s="1"/>
  <c r="F14" i="2"/>
  <c r="Q13" i="2"/>
  <c r="P13" i="2"/>
  <c r="M13" i="2"/>
  <c r="I13" i="2"/>
  <c r="J13" i="2" s="1"/>
  <c r="Q12" i="2"/>
  <c r="P12" i="2"/>
  <c r="M12" i="2"/>
  <c r="I12" i="2"/>
  <c r="J12" i="2" s="1"/>
  <c r="Q11" i="2"/>
  <c r="P11" i="2"/>
  <c r="M11" i="2"/>
  <c r="I11" i="2"/>
  <c r="J11" i="2" s="1"/>
  <c r="B7" i="2"/>
  <c r="B6" i="2"/>
  <c r="B3" i="2"/>
  <c r="B8" i="2" s="1"/>
  <c r="L36" i="2" s="1"/>
  <c r="N36" i="2" s="1"/>
  <c r="O36" i="2" s="1"/>
  <c r="B1" i="2"/>
  <c r="AE50" i="1"/>
  <c r="AA50" i="1"/>
  <c r="AB50" i="1" s="1"/>
  <c r="AC50" i="1" s="1"/>
  <c r="V50" i="1"/>
  <c r="M50" i="1"/>
  <c r="L50" i="1"/>
  <c r="P50" i="1" s="1"/>
  <c r="R50" i="1" s="1"/>
  <c r="AE49" i="1"/>
  <c r="AA49" i="1"/>
  <c r="AB49" i="1" s="1"/>
  <c r="AC49" i="1" s="1"/>
  <c r="AF49" i="1" s="1"/>
  <c r="AJ49" i="1" s="1"/>
  <c r="V49" i="1"/>
  <c r="M49" i="1"/>
  <c r="L49" i="1"/>
  <c r="P49" i="1" s="1"/>
  <c r="I49" i="1"/>
  <c r="H49" i="1"/>
  <c r="AE48" i="1"/>
  <c r="AB48" i="1"/>
  <c r="AC48" i="1" s="1"/>
  <c r="AF48" i="1" s="1"/>
  <c r="AJ48" i="1" s="1"/>
  <c r="AA48" i="1"/>
  <c r="V48" i="1"/>
  <c r="P48" i="1"/>
  <c r="T48" i="1" s="1"/>
  <c r="U48" i="1" s="1"/>
  <c r="W48" i="1" s="1"/>
  <c r="M48" i="1"/>
  <c r="L48" i="1"/>
  <c r="AE47" i="1"/>
  <c r="AB47" i="1"/>
  <c r="AC47" i="1" s="1"/>
  <c r="AF47" i="1" s="1"/>
  <c r="AJ47" i="1" s="1"/>
  <c r="AA47" i="1"/>
  <c r="V47" i="1"/>
  <c r="P47" i="1"/>
  <c r="M47" i="1"/>
  <c r="L47" i="1"/>
  <c r="AE46" i="1"/>
  <c r="AB46" i="1"/>
  <c r="AC46" i="1" s="1"/>
  <c r="AF46" i="1" s="1"/>
  <c r="AJ46" i="1" s="1"/>
  <c r="AA46" i="1"/>
  <c r="V46" i="1"/>
  <c r="T46" i="1"/>
  <c r="U46" i="1" s="1"/>
  <c r="W46" i="1" s="1"/>
  <c r="P46" i="1"/>
  <c r="R46" i="1" s="1"/>
  <c r="M46" i="1"/>
  <c r="L46" i="1"/>
  <c r="AE45" i="1"/>
  <c r="AB45" i="1"/>
  <c r="AC45" i="1" s="1"/>
  <c r="AF45" i="1" s="1"/>
  <c r="AJ45" i="1" s="1"/>
  <c r="AA45" i="1"/>
  <c r="V45" i="1"/>
  <c r="P45" i="1"/>
  <c r="M45" i="1"/>
  <c r="L45" i="1"/>
  <c r="AE44" i="1"/>
  <c r="AB44" i="1"/>
  <c r="AC44" i="1" s="1"/>
  <c r="AF44" i="1" s="1"/>
  <c r="AJ44" i="1" s="1"/>
  <c r="AA44" i="1"/>
  <c r="V44" i="1"/>
  <c r="M44" i="1"/>
  <c r="L44" i="1"/>
  <c r="P44" i="1" s="1"/>
  <c r="AE43" i="1"/>
  <c r="AB43" i="1"/>
  <c r="AC43" i="1" s="1"/>
  <c r="AF43" i="1" s="1"/>
  <c r="AJ43" i="1" s="1"/>
  <c r="AA43" i="1"/>
  <c r="V43" i="1"/>
  <c r="P43" i="1"/>
  <c r="M43" i="1"/>
  <c r="L43" i="1"/>
  <c r="AE42" i="1"/>
  <c r="AB42" i="1"/>
  <c r="AC42" i="1" s="1"/>
  <c r="AF42" i="1" s="1"/>
  <c r="AJ42" i="1" s="1"/>
  <c r="AA42" i="1"/>
  <c r="V42" i="1"/>
  <c r="M42" i="1"/>
  <c r="L42" i="1"/>
  <c r="P42" i="1" s="1"/>
  <c r="AE41" i="1"/>
  <c r="AB41" i="1"/>
  <c r="AC41" i="1" s="1"/>
  <c r="AF41" i="1" s="1"/>
  <c r="AJ41" i="1" s="1"/>
  <c r="AA41" i="1"/>
  <c r="V41" i="1"/>
  <c r="P41" i="1"/>
  <c r="M41" i="1"/>
  <c r="L41" i="1"/>
  <c r="AE40" i="1"/>
  <c r="AB40" i="1"/>
  <c r="AC40" i="1" s="1"/>
  <c r="AF40" i="1" s="1"/>
  <c r="AJ40" i="1" s="1"/>
  <c r="AA40" i="1"/>
  <c r="V40" i="1"/>
  <c r="M40" i="1"/>
  <c r="L40" i="1"/>
  <c r="P40" i="1" s="1"/>
  <c r="AE39" i="1"/>
  <c r="AB39" i="1"/>
  <c r="AC39" i="1" s="1"/>
  <c r="AF39" i="1" s="1"/>
  <c r="AJ39" i="1" s="1"/>
  <c r="AA39" i="1"/>
  <c r="V39" i="1"/>
  <c r="P39" i="1"/>
  <c r="M39" i="1"/>
  <c r="L39" i="1"/>
  <c r="AE38" i="1"/>
  <c r="AB38" i="1"/>
  <c r="AC38" i="1" s="1"/>
  <c r="AF38" i="1" s="1"/>
  <c r="AJ38" i="1" s="1"/>
  <c r="AA38" i="1"/>
  <c r="V38" i="1"/>
  <c r="M38" i="1"/>
  <c r="L38" i="1"/>
  <c r="P38" i="1" s="1"/>
  <c r="R38" i="1" s="1"/>
  <c r="AE37" i="1"/>
  <c r="AB37" i="1"/>
  <c r="AC37" i="1" s="1"/>
  <c r="AF37" i="1" s="1"/>
  <c r="AJ37" i="1" s="1"/>
  <c r="AA37" i="1"/>
  <c r="V37" i="1"/>
  <c r="M37" i="1"/>
  <c r="L37" i="1"/>
  <c r="P37" i="1" s="1"/>
  <c r="AE36" i="1"/>
  <c r="AB36" i="1"/>
  <c r="AC36" i="1" s="1"/>
  <c r="AA36" i="1"/>
  <c r="V36" i="1"/>
  <c r="T36" i="1"/>
  <c r="U36" i="1" s="1"/>
  <c r="W36" i="1" s="1"/>
  <c r="X36" i="1" s="1"/>
  <c r="M36" i="1"/>
  <c r="L36" i="1"/>
  <c r="P36" i="1" s="1"/>
  <c r="R36" i="1" s="1"/>
  <c r="AE35" i="1"/>
  <c r="AB35" i="1"/>
  <c r="AC35" i="1" s="1"/>
  <c r="AA35" i="1"/>
  <c r="V35" i="1"/>
  <c r="M35" i="1"/>
  <c r="L35" i="1"/>
  <c r="P35" i="1" s="1"/>
  <c r="AE34" i="1"/>
  <c r="AB34" i="1"/>
  <c r="AC34" i="1" s="1"/>
  <c r="AF34" i="1" s="1"/>
  <c r="AJ34" i="1" s="1"/>
  <c r="AA34" i="1"/>
  <c r="V34" i="1"/>
  <c r="T34" i="1"/>
  <c r="U34" i="1" s="1"/>
  <c r="W34" i="1" s="1"/>
  <c r="X34" i="1" s="1"/>
  <c r="M34" i="1"/>
  <c r="L34" i="1"/>
  <c r="P34" i="1" s="1"/>
  <c r="R34" i="1" s="1"/>
  <c r="AE33" i="1"/>
  <c r="AB33" i="1"/>
  <c r="AC33" i="1" s="1"/>
  <c r="AF33" i="1" s="1"/>
  <c r="AJ33" i="1" s="1"/>
  <c r="AA33" i="1"/>
  <c r="V33" i="1"/>
  <c r="P33" i="1"/>
  <c r="R33" i="1" s="1"/>
  <c r="M33" i="1"/>
  <c r="L33" i="1"/>
  <c r="AE32" i="1"/>
  <c r="AB32" i="1"/>
  <c r="AC32" i="1" s="1"/>
  <c r="AA32" i="1"/>
  <c r="V32" i="1"/>
  <c r="T32" i="1"/>
  <c r="U32" i="1" s="1"/>
  <c r="M32" i="1"/>
  <c r="L32" i="1"/>
  <c r="P32" i="1" s="1"/>
  <c r="R32" i="1" s="1"/>
  <c r="AE31" i="1"/>
  <c r="AB31" i="1"/>
  <c r="AC31" i="1" s="1"/>
  <c r="AF31" i="1" s="1"/>
  <c r="AJ31" i="1" s="1"/>
  <c r="AA31" i="1"/>
  <c r="V31" i="1"/>
  <c r="P31" i="1"/>
  <c r="R31" i="1" s="1"/>
  <c r="M31" i="1"/>
  <c r="L31" i="1"/>
  <c r="AJ30" i="1"/>
  <c r="AE30" i="1"/>
  <c r="AA30" i="1"/>
  <c r="AB30" i="1" s="1"/>
  <c r="AC30" i="1" s="1"/>
  <c r="V30" i="1"/>
  <c r="U30" i="1"/>
  <c r="W30" i="1" s="1"/>
  <c r="R30" i="1"/>
  <c r="M30" i="1"/>
  <c r="L30" i="1"/>
  <c r="P30" i="1" s="1"/>
  <c r="T30" i="1" s="1"/>
  <c r="AE29" i="1"/>
  <c r="AA29" i="1"/>
  <c r="AB29" i="1" s="1"/>
  <c r="AC29" i="1" s="1"/>
  <c r="AF29" i="1" s="1"/>
  <c r="AJ29" i="1" s="1"/>
  <c r="V29" i="1"/>
  <c r="M29" i="1"/>
  <c r="L29" i="1"/>
  <c r="AH28" i="1"/>
  <c r="AF28" i="1"/>
  <c r="AJ28" i="1" s="1"/>
  <c r="AE28" i="1"/>
  <c r="AC28" i="1"/>
  <c r="AA28" i="1"/>
  <c r="AB28" i="1" s="1"/>
  <c r="W28" i="1"/>
  <c r="V28" i="1"/>
  <c r="U28" i="1"/>
  <c r="R28" i="1"/>
  <c r="X28" i="1" s="1"/>
  <c r="M28" i="1"/>
  <c r="L28" i="1"/>
  <c r="P28" i="1" s="1"/>
  <c r="T28" i="1" s="1"/>
  <c r="AE27" i="1"/>
  <c r="AA27" i="1"/>
  <c r="AB27" i="1" s="1"/>
  <c r="AC27" i="1" s="1"/>
  <c r="AF27" i="1" s="1"/>
  <c r="AJ27" i="1" s="1"/>
  <c r="W27" i="1"/>
  <c r="V27" i="1"/>
  <c r="M27" i="1"/>
  <c r="L27" i="1"/>
  <c r="P27" i="1" s="1"/>
  <c r="T27" i="1" s="1"/>
  <c r="U27" i="1" s="1"/>
  <c r="AE26" i="1"/>
  <c r="AA26" i="1"/>
  <c r="AB26" i="1" s="1"/>
  <c r="AC26" i="1" s="1"/>
  <c r="AF26" i="1" s="1"/>
  <c r="AJ26" i="1" s="1"/>
  <c r="V26" i="1"/>
  <c r="M26" i="1"/>
  <c r="L26" i="1"/>
  <c r="P26" i="1" s="1"/>
  <c r="T26" i="1" s="1"/>
  <c r="U26" i="1" s="1"/>
  <c r="W26" i="1" s="1"/>
  <c r="AE25" i="1"/>
  <c r="AA25" i="1"/>
  <c r="AB25" i="1" s="1"/>
  <c r="AC25" i="1" s="1"/>
  <c r="AF25" i="1" s="1"/>
  <c r="AJ25" i="1" s="1"/>
  <c r="V25" i="1"/>
  <c r="M25" i="1"/>
  <c r="L25" i="1"/>
  <c r="AE24" i="1"/>
  <c r="AC24" i="1"/>
  <c r="AF24" i="1" s="1"/>
  <c r="AJ24" i="1" s="1"/>
  <c r="AA24" i="1"/>
  <c r="AB24" i="1" s="1"/>
  <c r="V24" i="1"/>
  <c r="M24" i="1"/>
  <c r="L24" i="1"/>
  <c r="P24" i="1" s="1"/>
  <c r="T24" i="1" s="1"/>
  <c r="U24" i="1" s="1"/>
  <c r="W24" i="1" s="1"/>
  <c r="AE23" i="1"/>
  <c r="AC23" i="1"/>
  <c r="AF23" i="1" s="1"/>
  <c r="AJ23" i="1" s="1"/>
  <c r="AA23" i="1"/>
  <c r="AB23" i="1" s="1"/>
  <c r="V23" i="1"/>
  <c r="T23" i="1"/>
  <c r="U23" i="1" s="1"/>
  <c r="W23" i="1" s="1"/>
  <c r="R23" i="1"/>
  <c r="P23" i="1"/>
  <c r="AE22" i="1"/>
  <c r="AA22" i="1"/>
  <c r="AB22" i="1" s="1"/>
  <c r="AC22" i="1" s="1"/>
  <c r="AF22" i="1" s="1"/>
  <c r="AJ22" i="1" s="1"/>
  <c r="V22" i="1"/>
  <c r="M22" i="1"/>
  <c r="P22" i="1" s="1"/>
  <c r="T22" i="1" s="1"/>
  <c r="U22" i="1" s="1"/>
  <c r="W22" i="1" s="1"/>
  <c r="L22" i="1"/>
  <c r="AF21" i="1"/>
  <c r="AJ21" i="1" s="1"/>
  <c r="AE21" i="1"/>
  <c r="AA21" i="1"/>
  <c r="AB21" i="1" s="1"/>
  <c r="AC21" i="1" s="1"/>
  <c r="V21" i="1"/>
  <c r="M21" i="1"/>
  <c r="P21" i="1" s="1"/>
  <c r="L21" i="1"/>
  <c r="AF20" i="1"/>
  <c r="AJ20" i="1" s="1"/>
  <c r="AE20" i="1"/>
  <c r="V20" i="1"/>
  <c r="M20" i="1"/>
  <c r="L20" i="1"/>
  <c r="P20" i="1" s="1"/>
  <c r="AE19" i="1"/>
  <c r="AB19" i="1"/>
  <c r="AC19" i="1" s="1"/>
  <c r="AF19" i="1" s="1"/>
  <c r="AJ19" i="1" s="1"/>
  <c r="AA19" i="1"/>
  <c r="V19" i="1"/>
  <c r="P19" i="1"/>
  <c r="R19" i="1" s="1"/>
  <c r="M19" i="1"/>
  <c r="L19" i="1"/>
  <c r="AE18" i="1"/>
  <c r="AB18" i="1"/>
  <c r="AC18" i="1" s="1"/>
  <c r="AF18" i="1" s="1"/>
  <c r="AJ18" i="1" s="1"/>
  <c r="AA18" i="1"/>
  <c r="V18" i="1"/>
  <c r="M18" i="1"/>
  <c r="L18" i="1"/>
  <c r="P18" i="1" s="1"/>
  <c r="AE17" i="1"/>
  <c r="AB17" i="1"/>
  <c r="AC17" i="1" s="1"/>
  <c r="AF17" i="1" s="1"/>
  <c r="AJ17" i="1" s="1"/>
  <c r="AA17" i="1"/>
  <c r="V17" i="1"/>
  <c r="R17" i="1"/>
  <c r="P17" i="1"/>
  <c r="T17" i="1" s="1"/>
  <c r="U17" i="1" s="1"/>
  <c r="W17" i="1" s="1"/>
  <c r="M17" i="1"/>
  <c r="L17" i="1"/>
  <c r="AE16" i="1"/>
  <c r="AB16" i="1"/>
  <c r="AC16" i="1" s="1"/>
  <c r="AF16" i="1" s="1"/>
  <c r="AJ16" i="1" s="1"/>
  <c r="AA16" i="1"/>
  <c r="V16" i="1"/>
  <c r="M16" i="1"/>
  <c r="L16" i="1"/>
  <c r="P16" i="1" s="1"/>
  <c r="AE15" i="1"/>
  <c r="AB15" i="1"/>
  <c r="AC15" i="1" s="1"/>
  <c r="AF15" i="1" s="1"/>
  <c r="AJ15" i="1" s="1"/>
  <c r="AA15" i="1"/>
  <c r="V15" i="1"/>
  <c r="P15" i="1"/>
  <c r="T15" i="1" s="1"/>
  <c r="U15" i="1" s="1"/>
  <c r="W15" i="1" s="1"/>
  <c r="M15" i="1"/>
  <c r="L15" i="1"/>
  <c r="AE14" i="1"/>
  <c r="AC14" i="1"/>
  <c r="AF14" i="1" s="1"/>
  <c r="AJ14" i="1" s="1"/>
  <c r="AB14" i="1"/>
  <c r="AA14" i="1"/>
  <c r="V14" i="1"/>
  <c r="P14" i="1"/>
  <c r="T14" i="1" s="1"/>
  <c r="U14" i="1" s="1"/>
  <c r="W14" i="1" s="1"/>
  <c r="M14" i="1"/>
  <c r="L14" i="1"/>
  <c r="AE13" i="1"/>
  <c r="AB13" i="1"/>
  <c r="AC13" i="1" s="1"/>
  <c r="AF13" i="1" s="1"/>
  <c r="AJ13" i="1" s="1"/>
  <c r="AA13" i="1"/>
  <c r="V13" i="1"/>
  <c r="T13" i="1"/>
  <c r="U13" i="1" s="1"/>
  <c r="W13" i="1" s="1"/>
  <c r="R13" i="1"/>
  <c r="X13" i="1" s="1"/>
  <c r="P13" i="1"/>
  <c r="M13" i="1"/>
  <c r="L13" i="1"/>
  <c r="AE12" i="1"/>
  <c r="AC12" i="1"/>
  <c r="AF12" i="1" s="1"/>
  <c r="AJ12" i="1" s="1"/>
  <c r="AB12" i="1"/>
  <c r="AA12" i="1"/>
  <c r="V12" i="1"/>
  <c r="M12" i="1"/>
  <c r="L12" i="1"/>
  <c r="P12" i="1" s="1"/>
  <c r="AE11" i="1"/>
  <c r="AB11" i="1"/>
  <c r="AC11" i="1" s="1"/>
  <c r="AF11" i="1" s="1"/>
  <c r="AJ11" i="1" s="1"/>
  <c r="AA11" i="1"/>
  <c r="V11" i="1"/>
  <c r="M11" i="1"/>
  <c r="L11" i="1"/>
  <c r="P11" i="1" s="1"/>
  <c r="AE10" i="1"/>
  <c r="AC10" i="1"/>
  <c r="AF10" i="1" s="1"/>
  <c r="AJ10" i="1" s="1"/>
  <c r="AB10" i="1"/>
  <c r="AA10" i="1"/>
  <c r="V10" i="1"/>
  <c r="P10" i="1"/>
  <c r="T10" i="1" s="1"/>
  <c r="U10" i="1" s="1"/>
  <c r="W10" i="1" s="1"/>
  <c r="M10" i="1"/>
  <c r="L10" i="1"/>
  <c r="AE9" i="1"/>
  <c r="AA9" i="1"/>
  <c r="AB9" i="1" s="1"/>
  <c r="AC9" i="1" s="1"/>
  <c r="AF9" i="1" s="1"/>
  <c r="AJ9" i="1" s="1"/>
  <c r="V9" i="1"/>
  <c r="M9" i="1"/>
  <c r="P9" i="1" s="1"/>
  <c r="L9" i="1"/>
  <c r="AE8" i="1"/>
  <c r="AA8" i="1"/>
  <c r="AB8" i="1" s="1"/>
  <c r="AC8" i="1" s="1"/>
  <c r="AF8" i="1" s="1"/>
  <c r="AJ8" i="1" s="1"/>
  <c r="V8" i="1"/>
  <c r="M8" i="1"/>
  <c r="L8" i="1"/>
  <c r="P8" i="1" s="1"/>
  <c r="AE7" i="1"/>
  <c r="AA7" i="1"/>
  <c r="AB7" i="1" s="1"/>
  <c r="AC7" i="1" s="1"/>
  <c r="AF7" i="1" s="1"/>
  <c r="AJ7" i="1" s="1"/>
  <c r="V7" i="1"/>
  <c r="M7" i="1"/>
  <c r="P7" i="1" s="1"/>
  <c r="L7" i="1"/>
  <c r="AE6" i="1"/>
  <c r="AA6" i="1"/>
  <c r="AB6" i="1" s="1"/>
  <c r="AC6" i="1" s="1"/>
  <c r="AF6" i="1" s="1"/>
  <c r="AJ6" i="1" s="1"/>
  <c r="V6" i="1"/>
  <c r="M6" i="1"/>
  <c r="L6" i="1"/>
  <c r="P6" i="1" s="1"/>
  <c r="H6" i="1"/>
  <c r="AE5" i="1"/>
  <c r="AB5" i="1"/>
  <c r="AC5" i="1" s="1"/>
  <c r="AF5" i="1" s="1"/>
  <c r="AJ5" i="1" s="1"/>
  <c r="AA5" i="1"/>
  <c r="V5" i="1"/>
  <c r="P5" i="1"/>
  <c r="R5" i="1" s="1"/>
  <c r="M5" i="1"/>
  <c r="L5" i="1"/>
  <c r="AE4" i="1"/>
  <c r="AB4" i="1"/>
  <c r="AC4" i="1" s="1"/>
  <c r="AF4" i="1" s="1"/>
  <c r="AJ4" i="1" s="1"/>
  <c r="AA4" i="1"/>
  <c r="V4" i="1"/>
  <c r="P4" i="1"/>
  <c r="T4" i="1" s="1"/>
  <c r="U4" i="1" s="1"/>
  <c r="W4" i="1" s="1"/>
  <c r="M4" i="1"/>
  <c r="L4" i="1"/>
  <c r="AE3" i="1"/>
  <c r="AB3" i="1"/>
  <c r="AC3" i="1" s="1"/>
  <c r="AF3" i="1" s="1"/>
  <c r="AJ3" i="1" s="1"/>
  <c r="AA3" i="1"/>
  <c r="V3" i="1"/>
  <c r="P3" i="1"/>
  <c r="R3" i="1" s="1"/>
  <c r="M3" i="1"/>
  <c r="L3" i="1"/>
  <c r="L17" i="2" l="1"/>
  <c r="N17" i="2" s="1"/>
  <c r="O17" i="2" s="1"/>
  <c r="L19" i="2"/>
  <c r="N19" i="2" s="1"/>
  <c r="O19" i="2" s="1"/>
  <c r="L30" i="2"/>
  <c r="N30" i="2" s="1"/>
  <c r="O30" i="2" s="1"/>
  <c r="R30" i="2" s="1"/>
  <c r="R31" i="2"/>
  <c r="L37" i="2"/>
  <c r="N37" i="2" s="1"/>
  <c r="O37" i="2" s="1"/>
  <c r="R37" i="2" s="1"/>
  <c r="L48" i="2"/>
  <c r="N48" i="2" s="1"/>
  <c r="O48" i="2" s="1"/>
  <c r="R48" i="2" s="1"/>
  <c r="L57" i="2"/>
  <c r="N57" i="2" s="1"/>
  <c r="O57" i="2" s="1"/>
  <c r="L59" i="2"/>
  <c r="N59" i="2" s="1"/>
  <c r="O59" i="2" s="1"/>
  <c r="L12" i="2"/>
  <c r="N12" i="2" s="1"/>
  <c r="O12" i="2" s="1"/>
  <c r="L21" i="2"/>
  <c r="N21" i="2" s="1"/>
  <c r="O21" i="2" s="1"/>
  <c r="L32" i="2"/>
  <c r="N32" i="2" s="1"/>
  <c r="O32" i="2" s="1"/>
  <c r="R32" i="2" s="1"/>
  <c r="L39" i="2"/>
  <c r="N39" i="2" s="1"/>
  <c r="O39" i="2" s="1"/>
  <c r="L50" i="2"/>
  <c r="N50" i="2" s="1"/>
  <c r="O50" i="2" s="1"/>
  <c r="R50" i="2" s="1"/>
  <c r="L52" i="2"/>
  <c r="N52" i="2" s="1"/>
  <c r="O52" i="2" s="1"/>
  <c r="L61" i="2"/>
  <c r="N61" i="2" s="1"/>
  <c r="O61" i="2" s="1"/>
  <c r="R61" i="2" s="1"/>
  <c r="L16" i="2"/>
  <c r="N16" i="2" s="1"/>
  <c r="O16" i="2" s="1"/>
  <c r="R16" i="2" s="1"/>
  <c r="L27" i="2"/>
  <c r="N27" i="2" s="1"/>
  <c r="O27" i="2" s="1"/>
  <c r="L45" i="2"/>
  <c r="N45" i="2" s="1"/>
  <c r="O45" i="2" s="1"/>
  <c r="L56" i="2"/>
  <c r="N56" i="2" s="1"/>
  <c r="O56" i="2" s="1"/>
  <c r="R56" i="2" s="1"/>
  <c r="R57" i="2"/>
  <c r="R59" i="2"/>
  <c r="L65" i="2"/>
  <c r="N65" i="2" s="1"/>
  <c r="O65" i="2" s="1"/>
  <c r="R65" i="2" s="1"/>
  <c r="L43" i="2"/>
  <c r="N43" i="2" s="1"/>
  <c r="O43" i="2" s="1"/>
  <c r="L25" i="2"/>
  <c r="N25" i="2" s="1"/>
  <c r="O25" i="2" s="1"/>
  <c r="R12" i="2"/>
  <c r="L18" i="2"/>
  <c r="N18" i="2" s="1"/>
  <c r="O18" i="2" s="1"/>
  <c r="R18" i="2" s="1"/>
  <c r="L20" i="2"/>
  <c r="N20" i="2" s="1"/>
  <c r="O20" i="2" s="1"/>
  <c r="R21" i="2"/>
  <c r="L29" i="2"/>
  <c r="N29" i="2" s="1"/>
  <c r="O29" i="2" s="1"/>
  <c r="R34" i="2"/>
  <c r="L38" i="2"/>
  <c r="N38" i="2" s="1"/>
  <c r="O38" i="2" s="1"/>
  <c r="R38" i="2" s="1"/>
  <c r="R39" i="2"/>
  <c r="L47" i="2"/>
  <c r="N47" i="2" s="1"/>
  <c r="O47" i="2" s="1"/>
  <c r="R47" i="2" s="1"/>
  <c r="R52" i="2"/>
  <c r="L58" i="2"/>
  <c r="N58" i="2" s="1"/>
  <c r="O58" i="2" s="1"/>
  <c r="L60" i="2"/>
  <c r="N60" i="2" s="1"/>
  <c r="O60" i="2" s="1"/>
  <c r="R60" i="2" s="1"/>
  <c r="L41" i="2"/>
  <c r="N41" i="2" s="1"/>
  <c r="O41" i="2" s="1"/>
  <c r="R64" i="2"/>
  <c r="R17" i="2"/>
  <c r="L11" i="2"/>
  <c r="N11" i="2" s="1"/>
  <c r="O11" i="2" s="1"/>
  <c r="R11" i="2" s="1"/>
  <c r="L13" i="2"/>
  <c r="N13" i="2" s="1"/>
  <c r="O13" i="2" s="1"/>
  <c r="R13" i="2" s="1"/>
  <c r="L22" i="2"/>
  <c r="N22" i="2" s="1"/>
  <c r="O22" i="2" s="1"/>
  <c r="R22" i="2" s="1"/>
  <c r="R23" i="2"/>
  <c r="L31" i="2"/>
  <c r="N31" i="2" s="1"/>
  <c r="O31" i="2" s="1"/>
  <c r="L40" i="2"/>
  <c r="N40" i="2" s="1"/>
  <c r="O40" i="2" s="1"/>
  <c r="R40" i="2" s="1"/>
  <c r="R41" i="2"/>
  <c r="R43" i="2"/>
  <c r="L49" i="2"/>
  <c r="N49" i="2" s="1"/>
  <c r="O49" i="2" s="1"/>
  <c r="R49" i="2" s="1"/>
  <c r="L51" i="2"/>
  <c r="N51" i="2" s="1"/>
  <c r="O51" i="2" s="1"/>
  <c r="R51" i="2" s="1"/>
  <c r="L62" i="2"/>
  <c r="N62" i="2" s="1"/>
  <c r="O62" i="2" s="1"/>
  <c r="R62" i="2" s="1"/>
  <c r="R63" i="2"/>
  <c r="L23" i="2"/>
  <c r="N23" i="2" s="1"/>
  <c r="O23" i="2" s="1"/>
  <c r="L54" i="2"/>
  <c r="N54" i="2" s="1"/>
  <c r="O54" i="2" s="1"/>
  <c r="R54" i="2" s="1"/>
  <c r="L63" i="2"/>
  <c r="N63" i="2" s="1"/>
  <c r="O63" i="2" s="1"/>
  <c r="L24" i="2"/>
  <c r="N24" i="2" s="1"/>
  <c r="O24" i="2" s="1"/>
  <c r="R24" i="2" s="1"/>
  <c r="R25" i="2"/>
  <c r="R27" i="2"/>
  <c r="L33" i="2"/>
  <c r="N33" i="2" s="1"/>
  <c r="O33" i="2" s="1"/>
  <c r="R33" i="2" s="1"/>
  <c r="L35" i="2"/>
  <c r="N35" i="2" s="1"/>
  <c r="O35" i="2" s="1"/>
  <c r="R35" i="2" s="1"/>
  <c r="R36" i="2"/>
  <c r="L42" i="2"/>
  <c r="N42" i="2" s="1"/>
  <c r="O42" i="2" s="1"/>
  <c r="R42" i="2" s="1"/>
  <c r="L44" i="2"/>
  <c r="N44" i="2" s="1"/>
  <c r="O44" i="2" s="1"/>
  <c r="R44" i="2" s="1"/>
  <c r="R45" i="2"/>
  <c r="L53" i="2"/>
  <c r="N53" i="2" s="1"/>
  <c r="O53" i="2" s="1"/>
  <c r="R53" i="2" s="1"/>
  <c r="R58" i="2"/>
  <c r="L64" i="2"/>
  <c r="N64" i="2" s="1"/>
  <c r="O64" i="2" s="1"/>
  <c r="R19" i="2"/>
  <c r="L15" i="2"/>
  <c r="N15" i="2" s="1"/>
  <c r="O15" i="2" s="1"/>
  <c r="R15" i="2" s="1"/>
  <c r="R20" i="2"/>
  <c r="L26" i="2"/>
  <c r="N26" i="2" s="1"/>
  <c r="O26" i="2" s="1"/>
  <c r="R26" i="2" s="1"/>
  <c r="L28" i="2"/>
  <c r="N28" i="2" s="1"/>
  <c r="O28" i="2" s="1"/>
  <c r="R28" i="2" s="1"/>
  <c r="R29" i="2"/>
  <c r="L46" i="2"/>
  <c r="N46" i="2" s="1"/>
  <c r="O46" i="2" s="1"/>
  <c r="R46" i="2" s="1"/>
  <c r="L55" i="2"/>
  <c r="N55" i="2" s="1"/>
  <c r="O55" i="2" s="1"/>
  <c r="R55" i="2" s="1"/>
  <c r="T18" i="1"/>
  <c r="U18" i="1" s="1"/>
  <c r="W18" i="1" s="1"/>
  <c r="R18" i="1"/>
  <c r="X18" i="1" s="1"/>
  <c r="AH34" i="1"/>
  <c r="AI34" i="1"/>
  <c r="AG34" i="1"/>
  <c r="T7" i="1"/>
  <c r="U7" i="1" s="1"/>
  <c r="W7" i="1" s="1"/>
  <c r="R7" i="1"/>
  <c r="T6" i="1"/>
  <c r="U6" i="1" s="1"/>
  <c r="W6" i="1" s="1"/>
  <c r="R6" i="1"/>
  <c r="T16" i="1"/>
  <c r="U16" i="1" s="1"/>
  <c r="W16" i="1" s="1"/>
  <c r="R16" i="1"/>
  <c r="T9" i="1"/>
  <c r="U9" i="1" s="1"/>
  <c r="W9" i="1" s="1"/>
  <c r="R9" i="1"/>
  <c r="X9" i="1" s="1"/>
  <c r="X5" i="1"/>
  <c r="T8" i="1"/>
  <c r="U8" i="1" s="1"/>
  <c r="W8" i="1" s="1"/>
  <c r="R8" i="1"/>
  <c r="R12" i="1"/>
  <c r="X12" i="1" s="1"/>
  <c r="T12" i="1"/>
  <c r="U12" i="1" s="1"/>
  <c r="W12" i="1" s="1"/>
  <c r="R37" i="1"/>
  <c r="T37" i="1"/>
  <c r="U37" i="1" s="1"/>
  <c r="W37" i="1" s="1"/>
  <c r="X31" i="1"/>
  <c r="X3" i="1"/>
  <c r="T11" i="1"/>
  <c r="U11" i="1" s="1"/>
  <c r="W11" i="1" s="1"/>
  <c r="R11" i="1"/>
  <c r="AG13" i="1"/>
  <c r="AI13" i="1"/>
  <c r="AH13" i="1"/>
  <c r="T20" i="1"/>
  <c r="U20" i="1" s="1"/>
  <c r="W20" i="1" s="1"/>
  <c r="R20" i="1"/>
  <c r="X20" i="1" s="1"/>
  <c r="R35" i="1"/>
  <c r="T35" i="1"/>
  <c r="U35" i="1" s="1"/>
  <c r="W35" i="1" s="1"/>
  <c r="AH36" i="1"/>
  <c r="AI36" i="1"/>
  <c r="R14" i="1"/>
  <c r="X14" i="1" s="1"/>
  <c r="T19" i="1"/>
  <c r="U19" i="1" s="1"/>
  <c r="W19" i="1" s="1"/>
  <c r="X19" i="1" s="1"/>
  <c r="AI28" i="1"/>
  <c r="AG28" i="1"/>
  <c r="T5" i="1"/>
  <c r="U5" i="1" s="1"/>
  <c r="W5" i="1" s="1"/>
  <c r="R15" i="1"/>
  <c r="X15" i="1" s="1"/>
  <c r="T21" i="1"/>
  <c r="U21" i="1" s="1"/>
  <c r="W21" i="1" s="1"/>
  <c r="R21" i="1"/>
  <c r="R26" i="1"/>
  <c r="X26" i="1" s="1"/>
  <c r="T33" i="1"/>
  <c r="U33" i="1" s="1"/>
  <c r="W33" i="1" s="1"/>
  <c r="X33" i="1" s="1"/>
  <c r="T44" i="1"/>
  <c r="U44" i="1" s="1"/>
  <c r="W44" i="1" s="1"/>
  <c r="R44" i="1"/>
  <c r="X44" i="1" s="1"/>
  <c r="T3" i="1"/>
  <c r="U3" i="1" s="1"/>
  <c r="W3" i="1" s="1"/>
  <c r="R24" i="1"/>
  <c r="X24" i="1" s="1"/>
  <c r="P29" i="1"/>
  <c r="AF32" i="1"/>
  <c r="AJ32" i="1" s="1"/>
  <c r="AF35" i="1"/>
  <c r="AJ35" i="1" s="1"/>
  <c r="T42" i="1"/>
  <c r="U42" i="1" s="1"/>
  <c r="W42" i="1" s="1"/>
  <c r="R42" i="1"/>
  <c r="T45" i="1"/>
  <c r="U45" i="1" s="1"/>
  <c r="W45" i="1" s="1"/>
  <c r="R45" i="1"/>
  <c r="X46" i="1"/>
  <c r="T49" i="1"/>
  <c r="U49" i="1" s="1"/>
  <c r="W49" i="1" s="1"/>
  <c r="R49" i="1"/>
  <c r="X49" i="1" s="1"/>
  <c r="T40" i="1"/>
  <c r="U40" i="1" s="1"/>
  <c r="W40" i="1" s="1"/>
  <c r="R40" i="1"/>
  <c r="X40" i="1" s="1"/>
  <c r="T43" i="1"/>
  <c r="U43" i="1" s="1"/>
  <c r="W43" i="1" s="1"/>
  <c r="R43" i="1"/>
  <c r="X43" i="1" s="1"/>
  <c r="T47" i="1"/>
  <c r="U47" i="1" s="1"/>
  <c r="W47" i="1" s="1"/>
  <c r="R47" i="1"/>
  <c r="X47" i="1" s="1"/>
  <c r="R4" i="1"/>
  <c r="X4" i="1" s="1"/>
  <c r="R10" i="1"/>
  <c r="X10" i="1" s="1"/>
  <c r="R22" i="1"/>
  <c r="X22" i="1" s="1"/>
  <c r="P25" i="1"/>
  <c r="T31" i="1"/>
  <c r="U31" i="1" s="1"/>
  <c r="W31" i="1" s="1"/>
  <c r="AF36" i="1"/>
  <c r="AJ36" i="1" s="1"/>
  <c r="T41" i="1"/>
  <c r="U41" i="1" s="1"/>
  <c r="W41" i="1" s="1"/>
  <c r="R41" i="1"/>
  <c r="T50" i="1"/>
  <c r="U50" i="1" s="1"/>
  <c r="W50" i="1" s="1"/>
  <c r="X50" i="1" s="1"/>
  <c r="X17" i="1"/>
  <c r="R27" i="1"/>
  <c r="X27" i="1" s="1"/>
  <c r="T38" i="1"/>
  <c r="U38" i="1" s="1"/>
  <c r="W38" i="1" s="1"/>
  <c r="X38" i="1" s="1"/>
  <c r="T39" i="1"/>
  <c r="U39" i="1" s="1"/>
  <c r="W39" i="1" s="1"/>
  <c r="R39" i="1"/>
  <c r="X39" i="1" s="1"/>
  <c r="X23" i="1"/>
  <c r="W32" i="1"/>
  <c r="X32" i="1" s="1"/>
  <c r="AF50" i="1"/>
  <c r="AJ50" i="1" s="1"/>
  <c r="X30" i="1"/>
  <c r="R48" i="1"/>
  <c r="X48" i="1" s="1"/>
  <c r="AI38" i="1" l="1"/>
  <c r="AH38" i="1"/>
  <c r="AG38" i="1"/>
  <c r="AH33" i="1"/>
  <c r="AG33" i="1"/>
  <c r="AI33" i="1"/>
  <c r="AI19" i="1"/>
  <c r="AH19" i="1"/>
  <c r="AG19" i="1"/>
  <c r="AI50" i="1"/>
  <c r="AH50" i="1"/>
  <c r="AG50" i="1"/>
  <c r="AI43" i="1"/>
  <c r="AH43" i="1"/>
  <c r="AG43" i="1"/>
  <c r="AI46" i="1"/>
  <c r="AH46" i="1"/>
  <c r="AG46" i="1"/>
  <c r="AI48" i="1"/>
  <c r="AH48" i="1"/>
  <c r="AG48" i="1"/>
  <c r="AI27" i="1"/>
  <c r="AG27" i="1"/>
  <c r="AH27" i="1"/>
  <c r="AI22" i="1"/>
  <c r="AH22" i="1"/>
  <c r="AG22" i="1"/>
  <c r="X42" i="1"/>
  <c r="X35" i="1"/>
  <c r="AI3" i="1"/>
  <c r="AH3" i="1"/>
  <c r="AG3" i="1"/>
  <c r="AI5" i="1"/>
  <c r="AG5" i="1"/>
  <c r="AH5" i="1"/>
  <c r="X7" i="1"/>
  <c r="T25" i="1"/>
  <c r="U25" i="1" s="1"/>
  <c r="W25" i="1" s="1"/>
  <c r="R25" i="1"/>
  <c r="X25" i="1" s="1"/>
  <c r="AH10" i="1"/>
  <c r="AG10" i="1"/>
  <c r="AI10" i="1"/>
  <c r="AH31" i="1"/>
  <c r="AG31" i="1"/>
  <c r="AI31" i="1"/>
  <c r="AH49" i="1"/>
  <c r="AG49" i="1"/>
  <c r="AI49" i="1"/>
  <c r="AI26" i="1"/>
  <c r="AG26" i="1"/>
  <c r="AH26" i="1"/>
  <c r="AI14" i="1"/>
  <c r="AH14" i="1"/>
  <c r="AG14" i="1"/>
  <c r="AL34" i="1"/>
  <c r="AK34" i="1"/>
  <c r="AI39" i="1"/>
  <c r="AH39" i="1"/>
  <c r="AG39" i="1"/>
  <c r="AI44" i="1"/>
  <c r="AH44" i="1"/>
  <c r="AG44" i="1"/>
  <c r="AH30" i="1"/>
  <c r="AG30" i="1"/>
  <c r="AI30" i="1"/>
  <c r="AI20" i="1"/>
  <c r="AH20" i="1"/>
  <c r="AG20" i="1"/>
  <c r="AH4" i="1"/>
  <c r="AG4" i="1"/>
  <c r="AI4" i="1"/>
  <c r="AH32" i="1"/>
  <c r="AI32" i="1"/>
  <c r="AG32" i="1"/>
  <c r="X41" i="1"/>
  <c r="AI47" i="1"/>
  <c r="AH47" i="1"/>
  <c r="AG47" i="1"/>
  <c r="X21" i="1"/>
  <c r="X37" i="1"/>
  <c r="AI40" i="1"/>
  <c r="AH40" i="1"/>
  <c r="AG40" i="1"/>
  <c r="AK28" i="1"/>
  <c r="AL28" i="1" s="1"/>
  <c r="AI17" i="1"/>
  <c r="AG17" i="1"/>
  <c r="AH17" i="1"/>
  <c r="AI9" i="1"/>
  <c r="AH9" i="1"/>
  <c r="AG9" i="1"/>
  <c r="AI23" i="1"/>
  <c r="AG23" i="1"/>
  <c r="AH23" i="1"/>
  <c r="T29" i="1"/>
  <c r="U29" i="1" s="1"/>
  <c r="W29" i="1" s="1"/>
  <c r="R29" i="1"/>
  <c r="X16" i="1"/>
  <c r="AG36" i="1"/>
  <c r="AH18" i="1"/>
  <c r="AI18" i="1"/>
  <c r="AG18" i="1"/>
  <c r="AI24" i="1"/>
  <c r="AG24" i="1"/>
  <c r="AH24" i="1"/>
  <c r="AI15" i="1"/>
  <c r="AH15" i="1"/>
  <c r="AG15" i="1"/>
  <c r="AL13" i="1"/>
  <c r="AK13" i="1"/>
  <c r="AH12" i="1"/>
  <c r="AG12" i="1"/>
  <c r="AI12" i="1"/>
  <c r="X45" i="1"/>
  <c r="X11" i="1"/>
  <c r="X8" i="1"/>
  <c r="X6" i="1"/>
  <c r="AI16" i="1" l="1"/>
  <c r="AH16" i="1"/>
  <c r="AG16" i="1"/>
  <c r="X29" i="1"/>
  <c r="AH37" i="1"/>
  <c r="AG37" i="1"/>
  <c r="AI37" i="1"/>
  <c r="AL30" i="1"/>
  <c r="AK30" i="1"/>
  <c r="AK27" i="1"/>
  <c r="AL27" i="1"/>
  <c r="AK43" i="1"/>
  <c r="AL43" i="1" s="1"/>
  <c r="AK12" i="1"/>
  <c r="AL12" i="1" s="1"/>
  <c r="AK24" i="1"/>
  <c r="AL24" i="1" s="1"/>
  <c r="AK17" i="1"/>
  <c r="AL17" i="1" s="1"/>
  <c r="AG21" i="1"/>
  <c r="AI21" i="1"/>
  <c r="AH21" i="1"/>
  <c r="AK49" i="1"/>
  <c r="AL49" i="1" s="1"/>
  <c r="AI25" i="1"/>
  <c r="AG25" i="1"/>
  <c r="AH25" i="1"/>
  <c r="AI45" i="1"/>
  <c r="AH45" i="1"/>
  <c r="AG45" i="1"/>
  <c r="AK47" i="1"/>
  <c r="AL47" i="1" s="1"/>
  <c r="AK4" i="1"/>
  <c r="AL4" i="1" s="1"/>
  <c r="AL44" i="1"/>
  <c r="AK44" i="1"/>
  <c r="AK14" i="1"/>
  <c r="AL14" i="1" s="1"/>
  <c r="AH35" i="1"/>
  <c r="AG35" i="1"/>
  <c r="AI35" i="1"/>
  <c r="AK48" i="1"/>
  <c r="AL48" i="1" s="1"/>
  <c r="AK33" i="1"/>
  <c r="AL33" i="1" s="1"/>
  <c r="AK10" i="1"/>
  <c r="AL10" i="1"/>
  <c r="AL18" i="1"/>
  <c r="AK18" i="1"/>
  <c r="AK23" i="1"/>
  <c r="AL23" i="1"/>
  <c r="AI7" i="1"/>
  <c r="AH7" i="1"/>
  <c r="AG7" i="1"/>
  <c r="AI42" i="1"/>
  <c r="AH42" i="1"/>
  <c r="AG42" i="1"/>
  <c r="AL50" i="1"/>
  <c r="AK50" i="1"/>
  <c r="AG6" i="1"/>
  <c r="AI6" i="1"/>
  <c r="AH6" i="1"/>
  <c r="AK20" i="1"/>
  <c r="AL20" i="1"/>
  <c r="AK31" i="1"/>
  <c r="AL31" i="1" s="1"/>
  <c r="AK22" i="1"/>
  <c r="AL22" i="1" s="1"/>
  <c r="AK38" i="1"/>
  <c r="AL38" i="1" s="1"/>
  <c r="AG8" i="1"/>
  <c r="AI8" i="1"/>
  <c r="AH8" i="1"/>
  <c r="AL15" i="1"/>
  <c r="AK15" i="1"/>
  <c r="AK9" i="1"/>
  <c r="AL9" i="1" s="1"/>
  <c r="AK40" i="1"/>
  <c r="AL40" i="1" s="1"/>
  <c r="AI41" i="1"/>
  <c r="AH41" i="1"/>
  <c r="AG41" i="1"/>
  <c r="AL39" i="1"/>
  <c r="AK39" i="1"/>
  <c r="AK5" i="1"/>
  <c r="AL5" i="1"/>
  <c r="AK46" i="1"/>
  <c r="AL46" i="1" s="1"/>
  <c r="AK3" i="1"/>
  <c r="AL3" i="1" s="1"/>
  <c r="AG11" i="1"/>
  <c r="AI11" i="1"/>
  <c r="AH11" i="1"/>
  <c r="AK36" i="1"/>
  <c r="AL36" i="1" s="1"/>
  <c r="AL32" i="1"/>
  <c r="AK32" i="1"/>
  <c r="AK26" i="1"/>
  <c r="AL26" i="1" s="1"/>
  <c r="AK19" i="1"/>
  <c r="AL19" i="1" s="1"/>
  <c r="AK37" i="1" l="1"/>
  <c r="AL37" i="1" s="1"/>
  <c r="AK8" i="1"/>
  <c r="AL8" i="1" s="1"/>
  <c r="AK6" i="1"/>
  <c r="AL6" i="1" s="1"/>
  <c r="AK21" i="1"/>
  <c r="AL21" i="1" s="1"/>
  <c r="AI29" i="1"/>
  <c r="AG29" i="1"/>
  <c r="AH29" i="1"/>
  <c r="AK11" i="1"/>
  <c r="AL11" i="1" s="1"/>
  <c r="AK16" i="1"/>
  <c r="AL16" i="1"/>
  <c r="AK7" i="1"/>
  <c r="AL7" i="1" s="1"/>
  <c r="AK25" i="1"/>
  <c r="AL25" i="1"/>
  <c r="AK35" i="1"/>
  <c r="AL35" i="1" s="1"/>
  <c r="AK45" i="1"/>
  <c r="AL45" i="1" s="1"/>
  <c r="AL41" i="1"/>
  <c r="AK41" i="1"/>
  <c r="AK42" i="1"/>
  <c r="AL42" i="1" s="1"/>
  <c r="AK29" i="1" l="1"/>
  <c r="AL29" i="1" s="1"/>
</calcChain>
</file>

<file path=xl/sharedStrings.xml><?xml version="1.0" encoding="utf-8"?>
<sst xmlns="http://schemas.openxmlformats.org/spreadsheetml/2006/main" count="503" uniqueCount="184">
  <si>
    <t>Parent part no.</t>
  </si>
  <si>
    <t>Level</t>
  </si>
  <si>
    <t>Part No</t>
  </si>
  <si>
    <t>Rev</t>
  </si>
  <si>
    <t>Description</t>
  </si>
  <si>
    <t>No. Cavity</t>
  </si>
  <si>
    <t>No. of pcs./stroke</t>
  </si>
  <si>
    <t>L</t>
  </si>
  <si>
    <t>W</t>
  </si>
  <si>
    <t>Draw</t>
  </si>
  <si>
    <t>Thk</t>
  </si>
  <si>
    <t>Thk.</t>
  </si>
  <si>
    <t>Qty/Assy</t>
  </si>
  <si>
    <t xml:space="preserve">Input Part Wt.
(KG)
</t>
  </si>
  <si>
    <t>RM RATE</t>
  </si>
  <si>
    <t>RM COST</t>
  </si>
  <si>
    <t>Net Part Weight</t>
  </si>
  <si>
    <t>Difference</t>
  </si>
  <si>
    <t>Scrap Wt</t>
  </si>
  <si>
    <t>Scrap/kg</t>
  </si>
  <si>
    <t>Scrap  Cost</t>
  </si>
  <si>
    <t>Net  RM  cost</t>
  </si>
  <si>
    <t>Vaccum Forming Cost / Shift</t>
  </si>
  <si>
    <t>Cycle time min</t>
  </si>
  <si>
    <t>No of components / shot</t>
  </si>
  <si>
    <t>Shrot / Shift</t>
  </si>
  <si>
    <t>Conv Cost</t>
  </si>
  <si>
    <t>CNC Trimming Cost</t>
  </si>
  <si>
    <t>Total Trimming cost</t>
  </si>
  <si>
    <t>Total Conversion Cost</t>
  </si>
  <si>
    <t>TOTAL COST</t>
  </si>
  <si>
    <t>ICC 2.25%</t>
  </si>
  <si>
    <t>Rej on RM 1%</t>
  </si>
  <si>
    <t>OH on conv 8%</t>
  </si>
  <si>
    <t>Profit 7%</t>
  </si>
  <si>
    <t xml:space="preserve">Total  Price </t>
  </si>
  <si>
    <t>BOP cost</t>
  </si>
  <si>
    <t>M9236033</t>
  </si>
  <si>
    <t>FC431488</t>
  </si>
  <si>
    <t>A</t>
  </si>
  <si>
    <t>COVER-BUS BODY INTERIOR TRIM PILLAR</t>
  </si>
  <si>
    <t>XLB06368</t>
  </si>
  <si>
    <t>#</t>
  </si>
  <si>
    <t>COVER-BUS BODY INTER. TRIM PILLAR RH SIDE</t>
  </si>
  <si>
    <t>M9220084</t>
  </si>
  <si>
    <t>FW824768</t>
  </si>
  <si>
    <t>BUS ROOF INNER PANEL ABS 3THK -03</t>
  </si>
  <si>
    <t>M9230091</t>
  </si>
  <si>
    <t>XGW43068</t>
  </si>
  <si>
    <t>PANEL-BUS SIDE INNER -04</t>
  </si>
  <si>
    <t>FW832568</t>
  </si>
  <si>
    <t>PANEL-ROOF INNER PANEL -LH WB</t>
  </si>
  <si>
    <t>FW832268</t>
  </si>
  <si>
    <t>PANEL-ROOF INNER LH-ROH-2</t>
  </si>
  <si>
    <t>FW832368</t>
  </si>
  <si>
    <t>PANEL-ROOF INNER LH-ROH-1</t>
  </si>
  <si>
    <t>FW832468</t>
  </si>
  <si>
    <t>BUS ROOF INNER PANEL -LH 01</t>
  </si>
  <si>
    <t>FW873013</t>
  </si>
  <si>
    <t>BUS ROOF INNER PANEL 01</t>
  </si>
  <si>
    <t>FW873313</t>
  </si>
  <si>
    <t>BUS ROOF INNER PANEL 04</t>
  </si>
  <si>
    <t>FW874913</t>
  </si>
  <si>
    <t>BUS ROOF INNER PANEL RH ROH</t>
  </si>
  <si>
    <t>M9235014</t>
  </si>
  <si>
    <t>FC451088</t>
  </si>
  <si>
    <t>#1</t>
  </si>
  <si>
    <t>COVER-BUS BODY INTER. TRIM DOOR BUMP - 800MM</t>
  </si>
  <si>
    <t>173*33*3*2</t>
  </si>
  <si>
    <t>blanc&amp; pierci</t>
  </si>
  <si>
    <t xml:space="preserve">sika sealant </t>
  </si>
  <si>
    <t>FC451288</t>
  </si>
  <si>
    <t>COVER-BUS BODY INTER. TRIM DOOR BUMP SERVICE - 800mm</t>
  </si>
  <si>
    <t>50*50*3*2</t>
  </si>
  <si>
    <t>M9225069</t>
  </si>
  <si>
    <t>XGW45868</t>
  </si>
  <si>
    <t>PANEL-BUS SIDE INNER 08</t>
  </si>
  <si>
    <t>70*45*2*1</t>
  </si>
  <si>
    <t>Blnav</t>
  </si>
  <si>
    <t>XLB10068</t>
  </si>
  <si>
    <t>COVER-BUS BODY INTER. TRIM LH FOH PILLAR 01</t>
  </si>
  <si>
    <t>XLB00163</t>
  </si>
  <si>
    <t>XLB09968</t>
  </si>
  <si>
    <t>COVER-BUS BODY INTER. TRIM RH FOH PILLAR 02</t>
  </si>
  <si>
    <t>XLB08368</t>
  </si>
  <si>
    <t>COVER-BUS BODY INTER. TRIM RH FOH PILLER 02</t>
  </si>
  <si>
    <t>FC492868</t>
  </si>
  <si>
    <t>COVER-BUS BODY INTER. TRIM PILLAR LH-ROH</t>
  </si>
  <si>
    <t>60*70*2*1</t>
  </si>
  <si>
    <t>shear</t>
  </si>
  <si>
    <t>XGW41468</t>
  </si>
  <si>
    <t>PANEL-BUS SIDE INNER -01</t>
  </si>
  <si>
    <t>XGW41768</t>
  </si>
  <si>
    <t>XGW42468</t>
  </si>
  <si>
    <t>PANEL-BUS SIDE INNER -DRIVER DOOR UPPER SIDE PANEL</t>
  </si>
  <si>
    <t>XGW44468</t>
  </si>
  <si>
    <t>PANEL-BUS SIDE INNER 01</t>
  </si>
  <si>
    <t>XGW44568</t>
  </si>
  <si>
    <t>XGW44668</t>
  </si>
  <si>
    <t>PANEL-BUS SIDE INNER 03</t>
  </si>
  <si>
    <t>XGW44868</t>
  </si>
  <si>
    <t>PANEL-BUS SIDE INNER 05</t>
  </si>
  <si>
    <t>XGW45968</t>
  </si>
  <si>
    <t>PANEL-BUS SIDE INNER 06</t>
  </si>
  <si>
    <t>XGW46068</t>
  </si>
  <si>
    <t>PANEL-BUS SIDE INNER 09</t>
  </si>
  <si>
    <t>XGW49168</t>
  </si>
  <si>
    <t>PANEL-BUS SIDE INNER RH-FOH-VERTICAL</t>
  </si>
  <si>
    <t>X7P01668</t>
  </si>
  <si>
    <t>DOOR FINISHERS - FOR VERTICAL PILLAR 02</t>
  </si>
  <si>
    <t>X7P01768</t>
  </si>
  <si>
    <t>DOOR FINISHERS - FOR VERTICAL PILLAR 01</t>
  </si>
  <si>
    <t>XGW43568</t>
  </si>
  <si>
    <t>PANEL-BUS SIDE INNER -WB BOTTOM -03</t>
  </si>
  <si>
    <t>XGW43668</t>
  </si>
  <si>
    <t>PANEL-BUS SIDE INNER -FOH</t>
  </si>
  <si>
    <t>XGW43768</t>
  </si>
  <si>
    <t>PANEL-BUS SIDE INNER -03</t>
  </si>
  <si>
    <t>XGW43968</t>
  </si>
  <si>
    <t>PANEL-BUS SIDE INNER -08</t>
  </si>
  <si>
    <t>XGW44068</t>
  </si>
  <si>
    <t>PANEL-BUS SIDE INNER -LH FOH UPPER</t>
  </si>
  <si>
    <t>XGW44968</t>
  </si>
  <si>
    <t>PANEL-BUS SIDE INNER 07</t>
  </si>
  <si>
    <t>XGW45068</t>
  </si>
  <si>
    <t>XGW45168</t>
  </si>
  <si>
    <t>XGW45568</t>
  </si>
  <si>
    <t>PANEL-BUS SIDE INNER 13</t>
  </si>
  <si>
    <t>XGW45668</t>
  </si>
  <si>
    <t>FC488568</t>
  </si>
  <si>
    <t>COVER-BUS BODY INTER. TRIM LH WB PILLER IRT</t>
  </si>
  <si>
    <t>FC488868</t>
  </si>
  <si>
    <t>COVER-BUS BODY INTER. TRIM - FOR VERTICAL PILLAR 01</t>
  </si>
  <si>
    <t>M9260013</t>
  </si>
  <si>
    <t>FRB12668</t>
  </si>
  <si>
    <t>PARTITION PANEL IRT KFW 222 VIKING MOFUSSIL</t>
  </si>
  <si>
    <t>FW824668</t>
  </si>
  <si>
    <t>BUS ROOF INNER PANEL ABS 3THK -02</t>
  </si>
  <si>
    <t>M9219003</t>
  </si>
  <si>
    <t>F3S08668</t>
  </si>
  <si>
    <t>BEZEL IP</t>
  </si>
  <si>
    <t>M9312017</t>
  </si>
  <si>
    <t>FDZ12368</t>
  </si>
  <si>
    <t>#2</t>
  </si>
  <si>
    <t>Panel-Driver Door Trim GSRTC ABS</t>
  </si>
  <si>
    <t>M9313029</t>
  </si>
  <si>
    <t>FDZ13068</t>
  </si>
  <si>
    <t>PANEL-EMERGENCY EXIT DOOR TRIM INTERIOR</t>
  </si>
  <si>
    <t>Machine Hour Rate</t>
  </si>
  <si>
    <t>CNC Trimming cycle time</t>
  </si>
  <si>
    <t>secs</t>
  </si>
  <si>
    <t>Total perimeter of the part</t>
  </si>
  <si>
    <t>mm</t>
  </si>
  <si>
    <t>No. of positioning</t>
  </si>
  <si>
    <t>Positioning time</t>
  </si>
  <si>
    <t>Totalpositioning time</t>
  </si>
  <si>
    <t>sec</t>
  </si>
  <si>
    <t>No. of cutting time</t>
  </si>
  <si>
    <t>Time taken for cutting/metre</t>
  </si>
  <si>
    <t>sec/metre</t>
  </si>
  <si>
    <t>Length</t>
  </si>
  <si>
    <t>Width</t>
  </si>
  <si>
    <t>Qty</t>
  </si>
  <si>
    <t>Perimeter</t>
  </si>
  <si>
    <t>Total perimeter</t>
  </si>
  <si>
    <t>No of Positioning</t>
  </si>
  <si>
    <t>Time Taken</t>
  </si>
  <si>
    <t>Loading &amp; Unloading</t>
  </si>
  <si>
    <t>Total Time Taken Secs</t>
  </si>
  <si>
    <t>Pre Processing Cost</t>
  </si>
  <si>
    <t>Post Processing Cost</t>
  </si>
  <si>
    <t>Total Cost</t>
  </si>
  <si>
    <t>XLB11368</t>
  </si>
  <si>
    <t>COVER-BUS BODY INTER. TRIM LH FOH PILLAR 02</t>
  </si>
  <si>
    <t>XLB11468</t>
  </si>
  <si>
    <t>FRB12768</t>
  </si>
  <si>
    <t>PARTITION PANEL 01</t>
  </si>
  <si>
    <t>FRB12868</t>
  </si>
  <si>
    <t>FRB15868</t>
  </si>
  <si>
    <t>PARTITION PANEL LH-ROH-1</t>
  </si>
  <si>
    <t>FRB15968</t>
  </si>
  <si>
    <t>PARTITION PANEL LH-FOH-2</t>
  </si>
  <si>
    <t>FRB16068</t>
  </si>
  <si>
    <t>PARTITION PANEL LH-FOH-1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</si>
</sst>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0.000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Arial"/>
      <family val="2"/>
    </font>
    <font>
      <sz val="12"/>
      <name val="Verdana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/>
  </cellStyleXfs>
  <cellXfs count="53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textRotation="90" wrapText="1"/>
    </xf>
    <xf numFmtId="0" fontId="4" fillId="0" borderId="1" xfId="1" applyFont="1" applyBorder="1" applyAlignment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64" fontId="8" fillId="2" borderId="1" xfId="1" applyNumberFormat="1" applyFont="1" applyFill="1" applyBorder="1" applyAlignment="1">
      <alignment horizontal="center" vertical="center"/>
    </xf>
    <xf numFmtId="2" fontId="8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8" fillId="2" borderId="1" xfId="1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164" fontId="8" fillId="2" borderId="1" xfId="1" applyNumberFormat="1" applyFont="1" applyFill="1" applyBorder="1" applyAlignment="1">
      <alignment horizontal="center" vertical="center" wrapText="1"/>
    </xf>
    <xf numFmtId="1" fontId="8" fillId="2" borderId="1" xfId="1" applyNumberFormat="1" applyFont="1" applyFill="1" applyBorder="1" applyAlignment="1">
      <alignment horizontal="center" vertical="center" wrapText="1"/>
    </xf>
    <xf numFmtId="2" fontId="8" fillId="0" borderId="1" xfId="1" applyNumberFormat="1" applyFont="1" applyBorder="1" applyAlignment="1">
      <alignment horizontal="center" vertical="center" wrapText="1"/>
    </xf>
    <xf numFmtId="2" fontId="9" fillId="0" borderId="1" xfId="1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1" fillId="0" borderId="1" xfId="2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164" fontId="8" fillId="2" borderId="2" xfId="1" applyNumberFormat="1" applyFont="1" applyFill="1" applyBorder="1" applyAlignment="1">
      <alignment horizontal="center" vertical="center"/>
    </xf>
    <xf numFmtId="2" fontId="8" fillId="2" borderId="2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65" fontId="8" fillId="2" borderId="2" xfId="1" applyNumberFormat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164" fontId="8" fillId="2" borderId="2" xfId="1" applyNumberFormat="1" applyFont="1" applyFill="1" applyBorder="1" applyAlignment="1">
      <alignment horizontal="center" vertical="center" wrapText="1"/>
    </xf>
    <xf numFmtId="1" fontId="8" fillId="2" borderId="2" xfId="1" applyNumberFormat="1" applyFont="1" applyFill="1" applyBorder="1" applyAlignment="1">
      <alignment horizontal="center" vertical="center" wrapText="1"/>
    </xf>
    <xf numFmtId="2" fontId="8" fillId="0" borderId="2" xfId="1" applyNumberFormat="1" applyFont="1" applyBorder="1" applyAlignment="1">
      <alignment horizontal="center" vertical="center" wrapText="1"/>
    </xf>
    <xf numFmtId="2" fontId="9" fillId="0" borderId="2" xfId="1" applyNumberFormat="1" applyFont="1" applyBorder="1" applyAlignment="1">
      <alignment horizontal="center" vertical="center" wrapText="1"/>
    </xf>
    <xf numFmtId="0" fontId="4" fillId="0" borderId="2" xfId="1" applyFont="1" applyBorder="1" applyAlignment="1"/>
    <xf numFmtId="0" fontId="5" fillId="0" borderId="2" xfId="1" applyFont="1" applyBorder="1" applyAlignment="1">
      <alignment horizontal="center" vertical="center" wrapText="1"/>
    </xf>
    <xf numFmtId="0" fontId="1" fillId="0" borderId="0" xfId="2"/>
    <xf numFmtId="2" fontId="1" fillId="0" borderId="0" xfId="2" applyNumberFormat="1"/>
    <xf numFmtId="166" fontId="1" fillId="0" borderId="0" xfId="2" applyNumberFormat="1"/>
    <xf numFmtId="0" fontId="1" fillId="0" borderId="1" xfId="2" applyBorder="1" applyAlignment="1">
      <alignment vertical="center"/>
    </xf>
    <xf numFmtId="0" fontId="1" fillId="0" borderId="1" xfId="2" applyBorder="1" applyAlignment="1">
      <alignment vertical="center" wrapText="1"/>
    </xf>
    <xf numFmtId="0" fontId="1" fillId="0" borderId="1" xfId="2" applyBorder="1" applyAlignment="1">
      <alignment horizontal="center" vertical="center" wrapText="1"/>
    </xf>
    <xf numFmtId="0" fontId="1" fillId="0" borderId="0" xfId="2" applyAlignment="1">
      <alignment vertical="center"/>
    </xf>
    <xf numFmtId="0" fontId="10" fillId="4" borderId="1" xfId="0" applyFont="1" applyFill="1" applyBorder="1"/>
    <xf numFmtId="0" fontId="1" fillId="5" borderId="1" xfId="2" applyFill="1" applyBorder="1"/>
    <xf numFmtId="1" fontId="1" fillId="5" borderId="1" xfId="2" applyNumberFormat="1" applyFill="1" applyBorder="1" applyAlignment="1">
      <alignment horizontal="center"/>
    </xf>
    <xf numFmtId="1" fontId="1" fillId="5" borderId="1" xfId="2" applyNumberFormat="1" applyFill="1" applyBorder="1"/>
    <xf numFmtId="2" fontId="1" fillId="5" borderId="1" xfId="2" applyNumberFormat="1" applyFill="1" applyBorder="1"/>
  </cellXfs>
  <cellStyles count="3">
    <cellStyle name="Normal" xfId="0" builtinId="0"/>
    <cellStyle name="Normal 2" xfId="1" xr:uid="{2630427E-9392-44A0-B286-5C66DFEF6906}"/>
    <cellStyle name="Normal 4 3" xfId="2" xr:uid="{DF3B145A-E426-4368-B05D-48AE4C50119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TL_sridhar.s\Downloads\Bus%20Body\Viking%20Moffusil\CBV20114D51002_BB%20cost%20working_23012026_V2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uper BOM"/>
      <sheetName val="Vinyl &amp; ply dimensions"/>
      <sheetName val="ABS Parts Calculation"/>
      <sheetName val="CNC Trimming Cycle time"/>
      <sheetName val="ABS Plain sheet"/>
      <sheetName val="Sealent usage calculation"/>
      <sheetName val="Bus Body shell assy Summary"/>
      <sheetName val="Sheetmetal-CSC"/>
      <sheetName val="RM_database"/>
      <sheetName val="PO"/>
      <sheetName val="Stanction &amp; partition working"/>
      <sheetName val="Template Bot Sliding"/>
      <sheetName val="Template Top fix&amp;Bot Sliding"/>
      <sheetName val="Template Fixed window"/>
      <sheetName val="Template only glass"/>
      <sheetName val="Template Swivel window"/>
      <sheetName val="ACP WORKING"/>
      <sheetName val="Process_database"/>
      <sheetName val="PROCESS-Machining"/>
      <sheetName val="Hatrack"/>
      <sheetName val="FRP Working"/>
      <sheetName val="structure input"/>
      <sheetName val="Subassy Labour cost"/>
      <sheetName val="M91 Working"/>
      <sheetName val="Consideration"/>
      <sheetName val="AL Skirt Panel Nesting"/>
      <sheetName val="Sheet10"/>
      <sheetName val="Ply &amp; Chequer nesting Summary"/>
      <sheetName val="Nesting Plywood (2)"/>
      <sheetName val="Nesting Chequered sheet"/>
      <sheetName val="Interior Panels nesting Summary"/>
      <sheetName val="Interior nesting"/>
      <sheetName val="Roll forming machine"/>
      <sheetName val="Pipe bending MC"/>
      <sheetName val="VA"/>
      <sheetName val="Nibbler MC"/>
      <sheetName val="Plywood nesting"/>
      <sheetName val="BPS"/>
      <sheetName val="Inj. Moulding"/>
      <sheetName val="Plywood nesting Summary"/>
      <sheetName val="Nesting Plywood"/>
      <sheetName val="Nesting Int. roof&amp;sidesummary"/>
      <sheetName val="Nesting-Interior Roof  panel"/>
      <sheetName val="Nesting-Interior Side panel"/>
      <sheetName val="Chequered footstep summary"/>
      <sheetName val="Nesting AL Chequered sheet"/>
      <sheetName val="Calc"/>
      <sheetName val="Leap Bom"/>
      <sheetName val="Cad bom"/>
      <sheetName val="cad bom2"/>
    </sheetNames>
    <sheetDataSet>
      <sheetData sheetId="0"/>
      <sheetData sheetId="1"/>
      <sheetData sheetId="2"/>
      <sheetData sheetId="3">
        <row r="3">
          <cell r="AD3">
            <v>4250</v>
          </cell>
        </row>
        <row r="49">
          <cell r="H49">
            <v>1526</v>
          </cell>
          <cell r="I49">
            <v>788</v>
          </cell>
        </row>
        <row r="50">
          <cell r="H50">
            <v>1302</v>
          </cell>
          <cell r="I50">
            <v>645</v>
          </cell>
        </row>
      </sheetData>
      <sheetData sheetId="4">
        <row r="2">
          <cell r="C2" t="str">
            <v>secs</v>
          </cell>
        </row>
        <row r="3">
          <cell r="C3" t="str">
            <v>mm</v>
          </cell>
        </row>
        <row r="6">
          <cell r="C6" t="str">
            <v>sec</v>
          </cell>
        </row>
        <row r="7">
          <cell r="C7" t="str">
            <v>sec</v>
          </cell>
        </row>
        <row r="8">
          <cell r="C8" t="str">
            <v>sec/metre</v>
          </cell>
        </row>
        <row r="10">
          <cell r="C10" t="str">
            <v>Part No</v>
          </cell>
          <cell r="D10" t="str">
            <v>Rev</v>
          </cell>
          <cell r="E10" t="str">
            <v>Description</v>
          </cell>
          <cell r="F10" t="str">
            <v>Length</v>
          </cell>
          <cell r="G10" t="str">
            <v>Width</v>
          </cell>
          <cell r="H10" t="str">
            <v>Qty</v>
          </cell>
          <cell r="I10" t="str">
            <v>Perimeter</v>
          </cell>
          <cell r="J10" t="str">
            <v>Total perimeter</v>
          </cell>
          <cell r="K10" t="str">
            <v>No of Positioning</v>
          </cell>
          <cell r="L10" t="str">
            <v>Time Taken</v>
          </cell>
          <cell r="M10" t="str">
            <v>Loading &amp; Unloading</v>
          </cell>
          <cell r="N10" t="str">
            <v>Total Time Taken Secs</v>
          </cell>
          <cell r="O10" t="str">
            <v>CNC Trimming Cost</v>
          </cell>
          <cell r="P10" t="str">
            <v>Pre Processing Cost</v>
          </cell>
          <cell r="Q10" t="str">
            <v>Post Processing Cost</v>
          </cell>
          <cell r="R10" t="str">
            <v>Total Cost</v>
          </cell>
        </row>
        <row r="11">
          <cell r="C11" t="str">
            <v>FC431488</v>
          </cell>
          <cell r="D11" t="str">
            <v>A</v>
          </cell>
          <cell r="E11" t="str">
            <v>COVER-BUS BODY INTERIOR TRIM PILLAR</v>
          </cell>
          <cell r="F11">
            <v>805</v>
          </cell>
          <cell r="G11">
            <v>109</v>
          </cell>
          <cell r="H11">
            <v>1</v>
          </cell>
          <cell r="I11">
            <v>1828</v>
          </cell>
          <cell r="J11">
            <v>1828</v>
          </cell>
          <cell r="K11">
            <v>5</v>
          </cell>
          <cell r="L11">
            <v>66.166723404255322</v>
          </cell>
          <cell r="M11">
            <v>40</v>
          </cell>
          <cell r="N11">
            <v>106.16672340425532</v>
          </cell>
          <cell r="O11">
            <v>18.762831606290963</v>
          </cell>
          <cell r="P11">
            <v>3.75</v>
          </cell>
          <cell r="Q11">
            <v>2.5</v>
          </cell>
          <cell r="R11">
            <v>25.012831606290963</v>
          </cell>
        </row>
        <row r="12">
          <cell r="C12" t="str">
            <v>XLB06368</v>
          </cell>
          <cell r="D12" t="str">
            <v>#</v>
          </cell>
          <cell r="E12" t="str">
            <v>COVER-BUS BODY INTER. TRIM PILLAR RH SIDE</v>
          </cell>
          <cell r="F12">
            <v>767</v>
          </cell>
          <cell r="G12">
            <v>112</v>
          </cell>
          <cell r="H12">
            <v>1</v>
          </cell>
          <cell r="I12">
            <v>1758</v>
          </cell>
          <cell r="J12">
            <v>1758</v>
          </cell>
          <cell r="K12">
            <v>5</v>
          </cell>
          <cell r="L12">
            <v>64.398851063829795</v>
          </cell>
          <cell r="M12">
            <v>40</v>
          </cell>
          <cell r="N12">
            <v>104.3988510638298</v>
          </cell>
          <cell r="O12">
            <v>18.45039575105109</v>
          </cell>
          <cell r="P12">
            <v>3.75</v>
          </cell>
          <cell r="Q12">
            <v>2.5</v>
          </cell>
          <cell r="R12">
            <v>24.70039575105109</v>
          </cell>
        </row>
        <row r="13">
          <cell r="C13" t="str">
            <v>FW824768</v>
          </cell>
          <cell r="D13" t="str">
            <v>#</v>
          </cell>
          <cell r="E13" t="str">
            <v>BUS ROOF INNER PANEL ABS 3THK -03</v>
          </cell>
          <cell r="F13">
            <v>1338</v>
          </cell>
          <cell r="G13">
            <v>686</v>
          </cell>
          <cell r="H13">
            <v>1</v>
          </cell>
          <cell r="I13">
            <v>4048</v>
          </cell>
          <cell r="J13">
            <v>4048</v>
          </cell>
          <cell r="K13">
            <v>8</v>
          </cell>
          <cell r="L13">
            <v>134.2335319148936</v>
          </cell>
          <cell r="M13">
            <v>40</v>
          </cell>
          <cell r="N13">
            <v>174.2335319148936</v>
          </cell>
          <cell r="O13">
            <v>30.792270069789495</v>
          </cell>
          <cell r="P13">
            <v>3.75</v>
          </cell>
          <cell r="Q13">
            <v>2.5</v>
          </cell>
          <cell r="R13">
            <v>37.042270069789495</v>
          </cell>
        </row>
        <row r="14">
          <cell r="C14" t="str">
            <v>XGW43068</v>
          </cell>
          <cell r="D14" t="str">
            <v>#</v>
          </cell>
          <cell r="E14" t="str">
            <v>PANEL-BUS SIDE INNER -04</v>
          </cell>
          <cell r="F14">
            <v>1366</v>
          </cell>
          <cell r="G14">
            <v>753</v>
          </cell>
          <cell r="H14">
            <v>1</v>
          </cell>
          <cell r="I14">
            <v>4238</v>
          </cell>
          <cell r="J14">
            <v>4238</v>
          </cell>
          <cell r="K14">
            <v>20</v>
          </cell>
          <cell r="L14">
            <v>187.0320425531915</v>
          </cell>
          <cell r="M14">
            <v>40</v>
          </cell>
          <cell r="N14">
            <v>227.0320425531915</v>
          </cell>
          <cell r="O14">
            <v>40.123344180433456</v>
          </cell>
          <cell r="P14">
            <v>3.75</v>
          </cell>
          <cell r="Q14">
            <v>2.5</v>
          </cell>
          <cell r="R14">
            <v>46.373344180433456</v>
          </cell>
        </row>
        <row r="15">
          <cell r="C15" t="str">
            <v>FW832568</v>
          </cell>
          <cell r="D15" t="str">
            <v>#</v>
          </cell>
          <cell r="E15" t="str">
            <v>PANEL-ROOF INNER PANEL -LH WB</v>
          </cell>
          <cell r="F15">
            <v>1338</v>
          </cell>
          <cell r="G15">
            <v>686</v>
          </cell>
          <cell r="H15">
            <v>1</v>
          </cell>
          <cell r="I15">
            <v>4048</v>
          </cell>
          <cell r="J15">
            <v>4048</v>
          </cell>
          <cell r="K15">
            <v>8</v>
          </cell>
          <cell r="L15">
            <v>134.2335319148936</v>
          </cell>
          <cell r="M15">
            <v>40</v>
          </cell>
          <cell r="N15">
            <v>174.2335319148936</v>
          </cell>
          <cell r="O15">
            <v>30.792270069789495</v>
          </cell>
          <cell r="P15">
            <v>3.75</v>
          </cell>
          <cell r="Q15">
            <v>2.5</v>
          </cell>
          <cell r="R15">
            <v>37.042270069789495</v>
          </cell>
        </row>
        <row r="16">
          <cell r="C16" t="str">
            <v>FW832268</v>
          </cell>
          <cell r="D16" t="str">
            <v>#</v>
          </cell>
          <cell r="E16" t="str">
            <v>PANEL-ROOF INNER LH-ROH-2</v>
          </cell>
          <cell r="F16">
            <v>1338</v>
          </cell>
          <cell r="G16">
            <v>686</v>
          </cell>
          <cell r="H16">
            <v>1</v>
          </cell>
          <cell r="I16">
            <v>4048</v>
          </cell>
          <cell r="J16">
            <v>4048</v>
          </cell>
          <cell r="K16">
            <v>10</v>
          </cell>
          <cell r="L16">
            <v>142.2335319148936</v>
          </cell>
          <cell r="M16">
            <v>40</v>
          </cell>
          <cell r="N16">
            <v>182.2335319148936</v>
          </cell>
          <cell r="O16">
            <v>32.206109058478788</v>
          </cell>
          <cell r="P16">
            <v>3.75</v>
          </cell>
          <cell r="Q16">
            <v>2.5</v>
          </cell>
          <cell r="R16">
            <v>38.456109058478788</v>
          </cell>
        </row>
        <row r="17">
          <cell r="C17" t="str">
            <v>FW832368</v>
          </cell>
          <cell r="D17" t="str">
            <v>#</v>
          </cell>
          <cell r="E17" t="str">
            <v>PANEL-ROOF INNER LH-ROH-1</v>
          </cell>
          <cell r="F17">
            <v>1356</v>
          </cell>
          <cell r="G17">
            <v>686</v>
          </cell>
          <cell r="H17">
            <v>1</v>
          </cell>
          <cell r="I17">
            <v>4084</v>
          </cell>
          <cell r="J17">
            <v>4084</v>
          </cell>
          <cell r="K17">
            <v>9</v>
          </cell>
          <cell r="L17">
            <v>139.14272340425532</v>
          </cell>
          <cell r="M17">
            <v>40</v>
          </cell>
          <cell r="N17">
            <v>179.14272340425532</v>
          </cell>
          <cell r="O17">
            <v>31.659870861114651</v>
          </cell>
          <cell r="P17">
            <v>3.75</v>
          </cell>
          <cell r="Q17">
            <v>2.5</v>
          </cell>
          <cell r="R17">
            <v>37.909870861114655</v>
          </cell>
        </row>
        <row r="18">
          <cell r="C18" t="str">
            <v>FW832468</v>
          </cell>
          <cell r="D18" t="str">
            <v>#</v>
          </cell>
          <cell r="E18" t="str">
            <v>BUS ROOF INNER PANEL -LH 01</v>
          </cell>
          <cell r="F18">
            <v>1338</v>
          </cell>
          <cell r="G18">
            <v>686</v>
          </cell>
          <cell r="H18">
            <v>1</v>
          </cell>
          <cell r="I18">
            <v>4048</v>
          </cell>
          <cell r="J18">
            <v>4048</v>
          </cell>
          <cell r="K18">
            <v>9</v>
          </cell>
          <cell r="L18">
            <v>138.2335319148936</v>
          </cell>
          <cell r="M18">
            <v>40</v>
          </cell>
          <cell r="N18">
            <v>178.2335319148936</v>
          </cell>
          <cell r="O18">
            <v>31.499189564134142</v>
          </cell>
          <cell r="P18">
            <v>3.75</v>
          </cell>
          <cell r="Q18">
            <v>2.5</v>
          </cell>
          <cell r="R18">
            <v>37.749189564134142</v>
          </cell>
        </row>
        <row r="19">
          <cell r="C19" t="str">
            <v>FW873013</v>
          </cell>
          <cell r="D19" t="str">
            <v>#</v>
          </cell>
          <cell r="E19" t="str">
            <v>BUS ROOF INNER PANEL 01</v>
          </cell>
          <cell r="F19">
            <v>1124</v>
          </cell>
          <cell r="G19">
            <v>686</v>
          </cell>
          <cell r="H19">
            <v>1</v>
          </cell>
          <cell r="I19">
            <v>3620</v>
          </cell>
          <cell r="J19">
            <v>3620</v>
          </cell>
          <cell r="K19">
            <v>7</v>
          </cell>
          <cell r="L19">
            <v>119.42425531914894</v>
          </cell>
          <cell r="M19">
            <v>40</v>
          </cell>
          <cell r="N19">
            <v>159.42425531914893</v>
          </cell>
          <cell r="O19">
            <v>28.175028489121047</v>
          </cell>
          <cell r="P19">
            <v>3.75</v>
          </cell>
          <cell r="Q19">
            <v>2.5</v>
          </cell>
          <cell r="R19">
            <v>34.425028489121047</v>
          </cell>
        </row>
        <row r="20">
          <cell r="C20" t="str">
            <v>FW873313</v>
          </cell>
          <cell r="D20" t="str">
            <v>#</v>
          </cell>
          <cell r="E20" t="str">
            <v>BUS ROOF INNER PANEL 04</v>
          </cell>
          <cell r="F20">
            <v>1139</v>
          </cell>
          <cell r="G20">
            <v>686</v>
          </cell>
          <cell r="H20">
            <v>1</v>
          </cell>
          <cell r="I20">
            <v>3650</v>
          </cell>
          <cell r="J20">
            <v>3650</v>
          </cell>
          <cell r="K20">
            <v>8</v>
          </cell>
          <cell r="L20">
            <v>124.18191489361702</v>
          </cell>
          <cell r="M20">
            <v>40</v>
          </cell>
          <cell r="N20">
            <v>164.18191489361703</v>
          </cell>
          <cell r="O20">
            <v>29.015849064282783</v>
          </cell>
          <cell r="P20">
            <v>3.75</v>
          </cell>
          <cell r="Q20">
            <v>2.5</v>
          </cell>
          <cell r="R20">
            <v>35.265849064282783</v>
          </cell>
        </row>
        <row r="21">
          <cell r="C21" t="str">
            <v>FW874913</v>
          </cell>
          <cell r="D21" t="str">
            <v>#</v>
          </cell>
          <cell r="E21" t="str">
            <v>BUS ROOF INNER PANEL RH ROH</v>
          </cell>
          <cell r="F21">
            <v>1356</v>
          </cell>
          <cell r="G21">
            <v>686</v>
          </cell>
          <cell r="H21">
            <v>1</v>
          </cell>
          <cell r="I21">
            <v>4084</v>
          </cell>
          <cell r="J21">
            <v>4084</v>
          </cell>
          <cell r="K21">
            <v>8</v>
          </cell>
          <cell r="L21">
            <v>135.14272340425532</v>
          </cell>
          <cell r="M21">
            <v>40</v>
          </cell>
          <cell r="N21">
            <v>175.14272340425532</v>
          </cell>
          <cell r="O21">
            <v>30.952951366770009</v>
          </cell>
          <cell r="P21">
            <v>3.75</v>
          </cell>
          <cell r="Q21">
            <v>2.5</v>
          </cell>
          <cell r="R21">
            <v>37.202951366770009</v>
          </cell>
        </row>
        <row r="22">
          <cell r="C22" t="str">
            <v>FC451088</v>
          </cell>
          <cell r="D22" t="str">
            <v>#1</v>
          </cell>
          <cell r="E22" t="str">
            <v>COVER-BUS BODY INTER. TRIM DOOR BUMP - 800MM</v>
          </cell>
          <cell r="F22">
            <v>700</v>
          </cell>
          <cell r="G22">
            <v>1300</v>
          </cell>
          <cell r="H22">
            <v>1</v>
          </cell>
          <cell r="I22">
            <v>4000</v>
          </cell>
          <cell r="J22">
            <v>4000</v>
          </cell>
          <cell r="K22">
            <v>8</v>
          </cell>
          <cell r="L22">
            <v>133.02127659574467</v>
          </cell>
          <cell r="M22">
            <v>40</v>
          </cell>
          <cell r="N22">
            <v>173.02127659574467</v>
          </cell>
          <cell r="O22">
            <v>30.578028340482152</v>
          </cell>
          <cell r="P22">
            <v>3.75</v>
          </cell>
          <cell r="Q22">
            <v>2.5</v>
          </cell>
          <cell r="R22">
            <v>36.828028340482149</v>
          </cell>
        </row>
        <row r="23">
          <cell r="C23" t="str">
            <v>FC451288</v>
          </cell>
          <cell r="D23" t="str">
            <v>#</v>
          </cell>
          <cell r="E23" t="str">
            <v>COVER-BUS BODY INTER. TRIM DOOR BUMP SERVICE - 800mm</v>
          </cell>
          <cell r="F23">
            <v>782</v>
          </cell>
          <cell r="G23">
            <v>202</v>
          </cell>
          <cell r="H23">
            <v>1</v>
          </cell>
          <cell r="I23">
            <v>1968</v>
          </cell>
          <cell r="J23">
            <v>1968</v>
          </cell>
          <cell r="K23">
            <v>6</v>
          </cell>
          <cell r="L23">
            <v>73.702468085106375</v>
          </cell>
          <cell r="M23">
            <v>40</v>
          </cell>
          <cell r="N23">
            <v>113.70246808510637</v>
          </cell>
          <cell r="O23">
            <v>20.094622811115357</v>
          </cell>
          <cell r="P23">
            <v>3.75</v>
          </cell>
          <cell r="Q23">
            <v>2.5</v>
          </cell>
          <cell r="R23">
            <v>26.344622811115357</v>
          </cell>
        </row>
        <row r="24">
          <cell r="C24" t="str">
            <v>XGW45868</v>
          </cell>
          <cell r="D24" t="str">
            <v>#</v>
          </cell>
          <cell r="E24" t="str">
            <v>PANEL-BUS SIDE INNER 08</v>
          </cell>
          <cell r="F24">
            <v>888</v>
          </cell>
          <cell r="G24">
            <v>642</v>
          </cell>
          <cell r="H24">
            <v>1</v>
          </cell>
          <cell r="I24">
            <v>3060</v>
          </cell>
          <cell r="J24">
            <v>3060</v>
          </cell>
          <cell r="K24">
            <v>5</v>
          </cell>
          <cell r="L24">
            <v>97.281276595744686</v>
          </cell>
          <cell r="M24">
            <v>40</v>
          </cell>
          <cell r="N24">
            <v>137.28127659574469</v>
          </cell>
          <cell r="O24">
            <v>24.26170265851276</v>
          </cell>
          <cell r="P24">
            <v>3.75</v>
          </cell>
          <cell r="Q24">
            <v>2.5</v>
          </cell>
          <cell r="R24">
            <v>30.51170265851276</v>
          </cell>
        </row>
        <row r="25">
          <cell r="C25" t="str">
            <v>XLB10068</v>
          </cell>
          <cell r="D25" t="str">
            <v>#</v>
          </cell>
          <cell r="E25" t="str">
            <v>COVER-BUS BODY INTER. TRIM LH FOH PILLAR 01</v>
          </cell>
          <cell r="F25">
            <v>1152</v>
          </cell>
          <cell r="G25">
            <v>164</v>
          </cell>
          <cell r="H25">
            <v>1</v>
          </cell>
          <cell r="I25">
            <v>2632</v>
          </cell>
          <cell r="J25">
            <v>2632</v>
          </cell>
          <cell r="K25">
            <v>5</v>
          </cell>
          <cell r="L25">
            <v>86.471999999999994</v>
          </cell>
          <cell r="M25">
            <v>40</v>
          </cell>
          <cell r="N25">
            <v>126.47199999999999</v>
          </cell>
          <cell r="O25">
            <v>22.351380572188955</v>
          </cell>
          <cell r="P25">
            <v>3.75</v>
          </cell>
          <cell r="Q25">
            <v>2.5</v>
          </cell>
          <cell r="R25">
            <v>28.601380572188955</v>
          </cell>
        </row>
        <row r="26">
          <cell r="C26" t="str">
            <v>XLB00163</v>
          </cell>
          <cell r="D26" t="str">
            <v>#</v>
          </cell>
          <cell r="E26" t="str">
            <v>COVER-BUS BODY INTER. TRIM LH FOH PILLAR 01</v>
          </cell>
          <cell r="F26">
            <v>1152</v>
          </cell>
          <cell r="G26">
            <v>164</v>
          </cell>
          <cell r="H26">
            <v>1</v>
          </cell>
          <cell r="I26">
            <v>2632</v>
          </cell>
          <cell r="J26">
            <v>2632</v>
          </cell>
          <cell r="K26">
            <v>5</v>
          </cell>
          <cell r="L26">
            <v>86.471999999999994</v>
          </cell>
          <cell r="M26">
            <v>40</v>
          </cell>
          <cell r="N26">
            <v>126.47199999999999</v>
          </cell>
          <cell r="O26">
            <v>22.351380572188955</v>
          </cell>
          <cell r="P26">
            <v>3.75</v>
          </cell>
          <cell r="Q26">
            <v>2.5</v>
          </cell>
          <cell r="R26">
            <v>28.601380572188955</v>
          </cell>
        </row>
        <row r="27">
          <cell r="C27" t="str">
            <v>XLB09968</v>
          </cell>
          <cell r="D27" t="str">
            <v>#</v>
          </cell>
          <cell r="E27" t="str">
            <v>COVER-BUS BODY INTER. TRIM RH FOH PILLAR 02</v>
          </cell>
          <cell r="F27">
            <v>1152</v>
          </cell>
          <cell r="G27">
            <v>164</v>
          </cell>
          <cell r="H27">
            <v>1</v>
          </cell>
          <cell r="I27">
            <v>2632</v>
          </cell>
          <cell r="J27">
            <v>2632</v>
          </cell>
          <cell r="K27">
            <v>5</v>
          </cell>
          <cell r="L27">
            <v>86.471999999999994</v>
          </cell>
          <cell r="M27">
            <v>40</v>
          </cell>
          <cell r="N27">
            <v>126.47199999999999</v>
          </cell>
          <cell r="O27">
            <v>22.351380572188955</v>
          </cell>
          <cell r="P27">
            <v>3.75</v>
          </cell>
          <cell r="Q27">
            <v>2.5</v>
          </cell>
          <cell r="R27">
            <v>28.601380572188955</v>
          </cell>
        </row>
        <row r="28">
          <cell r="C28" t="str">
            <v>XLB08368</v>
          </cell>
          <cell r="D28" t="str">
            <v>#</v>
          </cell>
          <cell r="E28" t="str">
            <v>COVER-BUS BODY INTER. TRIM RH FOH PILLER 02</v>
          </cell>
          <cell r="F28">
            <v>600</v>
          </cell>
          <cell r="G28">
            <v>116</v>
          </cell>
          <cell r="H28">
            <v>1</v>
          </cell>
          <cell r="I28">
            <v>1432</v>
          </cell>
          <cell r="J28">
            <v>1432</v>
          </cell>
          <cell r="K28">
            <v>4</v>
          </cell>
          <cell r="L28">
            <v>52.165617021276596</v>
          </cell>
          <cell r="M28">
            <v>40</v>
          </cell>
          <cell r="N28">
            <v>92.165617021276603</v>
          </cell>
          <cell r="O28">
            <v>16.288417845160744</v>
          </cell>
          <cell r="P28">
            <v>3.75</v>
          </cell>
          <cell r="Q28">
            <v>2.5</v>
          </cell>
          <cell r="R28">
            <v>22.538417845160744</v>
          </cell>
        </row>
        <row r="29">
          <cell r="C29" t="str">
            <v>XLB11368</v>
          </cell>
          <cell r="D29" t="str">
            <v>#</v>
          </cell>
          <cell r="E29" t="str">
            <v>COVER-BUS BODY INTER. TRIM LH FOH PILLAR 02</v>
          </cell>
          <cell r="F29">
            <v>1345</v>
          </cell>
          <cell r="G29">
            <v>755</v>
          </cell>
          <cell r="H29">
            <v>1</v>
          </cell>
          <cell r="I29">
            <v>4200</v>
          </cell>
          <cell r="J29">
            <v>4200</v>
          </cell>
          <cell r="K29">
            <v>7</v>
          </cell>
          <cell r="L29">
            <v>134.07234042553193</v>
          </cell>
          <cell r="M29">
            <v>40</v>
          </cell>
          <cell r="N29">
            <v>174.07234042553193</v>
          </cell>
          <cell r="O29">
            <v>30.763782718251441</v>
          </cell>
          <cell r="P29">
            <v>3.75</v>
          </cell>
          <cell r="Q29">
            <v>2.5</v>
          </cell>
          <cell r="R29">
            <v>37.013782718251441</v>
          </cell>
        </row>
        <row r="30">
          <cell r="C30" t="str">
            <v>FC492868</v>
          </cell>
          <cell r="D30" t="str">
            <v>#</v>
          </cell>
          <cell r="E30" t="str">
            <v>COVER-BUS BODY INTER. TRIM PILLAR LH-ROH</v>
          </cell>
          <cell r="F30">
            <v>1640</v>
          </cell>
          <cell r="G30">
            <v>117</v>
          </cell>
          <cell r="H30">
            <v>1</v>
          </cell>
          <cell r="I30">
            <v>3514</v>
          </cell>
          <cell r="J30">
            <v>3514</v>
          </cell>
          <cell r="K30">
            <v>5</v>
          </cell>
          <cell r="L30">
            <v>108.74719148936171</v>
          </cell>
          <cell r="M30">
            <v>40</v>
          </cell>
          <cell r="N30">
            <v>148.74719148936171</v>
          </cell>
          <cell r="O30">
            <v>26.288072348211383</v>
          </cell>
          <cell r="P30">
            <v>3.75</v>
          </cell>
          <cell r="Q30">
            <v>2.5</v>
          </cell>
          <cell r="R30">
            <v>32.538072348211386</v>
          </cell>
        </row>
        <row r="31">
          <cell r="C31" t="str">
            <v>XGW41468</v>
          </cell>
          <cell r="D31" t="str">
            <v>#</v>
          </cell>
          <cell r="E31" t="str">
            <v>PANEL-BUS SIDE INNER -01</v>
          </cell>
          <cell r="F31">
            <v>1338</v>
          </cell>
          <cell r="G31">
            <v>600</v>
          </cell>
          <cell r="H31">
            <v>1</v>
          </cell>
          <cell r="I31">
            <v>3876</v>
          </cell>
          <cell r="J31">
            <v>3876</v>
          </cell>
          <cell r="K31">
            <v>4</v>
          </cell>
          <cell r="L31">
            <v>113.88961702127661</v>
          </cell>
          <cell r="M31">
            <v>40</v>
          </cell>
          <cell r="N31">
            <v>153.88961702127659</v>
          </cell>
          <cell r="O31">
            <v>27.196892562392943</v>
          </cell>
          <cell r="P31">
            <v>3.75</v>
          </cell>
          <cell r="Q31">
            <v>2.5</v>
          </cell>
          <cell r="R31">
            <v>33.446892562392947</v>
          </cell>
        </row>
        <row r="32">
          <cell r="C32" t="str">
            <v>XGW41768</v>
          </cell>
          <cell r="D32" t="str">
            <v>#</v>
          </cell>
          <cell r="E32" t="str">
            <v>PANEL-BUS SIDE INNER -04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C33" t="str">
            <v>XGW42468</v>
          </cell>
          <cell r="D33" t="str">
            <v>#</v>
          </cell>
          <cell r="E33" t="str">
            <v>PANEL-BUS SIDE INNER -DRIVER DOOR UPPER SIDE PANEL</v>
          </cell>
          <cell r="F33">
            <v>926</v>
          </cell>
          <cell r="G33">
            <v>544</v>
          </cell>
          <cell r="H33">
            <v>1</v>
          </cell>
          <cell r="I33">
            <v>2940</v>
          </cell>
          <cell r="J33">
            <v>2940</v>
          </cell>
          <cell r="K33">
            <v>6</v>
          </cell>
          <cell r="L33">
            <v>98.250638297872342</v>
          </cell>
          <cell r="M33">
            <v>40</v>
          </cell>
          <cell r="N33">
            <v>138.25063829787234</v>
          </cell>
          <cell r="O33">
            <v>24.433017829589048</v>
          </cell>
          <cell r="P33">
            <v>3.75</v>
          </cell>
          <cell r="Q33">
            <v>2.5</v>
          </cell>
          <cell r="R33">
            <v>30.683017829589048</v>
          </cell>
        </row>
        <row r="34">
          <cell r="C34" t="str">
            <v>XGW44468</v>
          </cell>
          <cell r="D34" t="str">
            <v>#</v>
          </cell>
          <cell r="E34" t="str">
            <v>PANEL-BUS SIDE INNER 01</v>
          </cell>
          <cell r="F34">
            <v>599</v>
          </cell>
          <cell r="G34">
            <v>427</v>
          </cell>
          <cell r="H34">
            <v>1</v>
          </cell>
          <cell r="I34">
            <v>2052</v>
          </cell>
          <cell r="J34">
            <v>2052</v>
          </cell>
          <cell r="K34">
            <v>5</v>
          </cell>
          <cell r="L34">
            <v>71.82391489361703</v>
          </cell>
          <cell r="M34">
            <v>40</v>
          </cell>
          <cell r="N34">
            <v>111.82391489361703</v>
          </cell>
          <cell r="O34">
            <v>19.762626343058564</v>
          </cell>
          <cell r="P34">
            <v>3.75</v>
          </cell>
          <cell r="Q34">
            <v>2.5</v>
          </cell>
          <cell r="R34">
            <v>26.012626343058564</v>
          </cell>
        </row>
        <row r="35">
          <cell r="C35" t="str">
            <v>XGW44568</v>
          </cell>
          <cell r="D35" t="str">
            <v>#</v>
          </cell>
          <cell r="E35" t="str">
            <v>PANEL-BUS SIDE INNER 01</v>
          </cell>
          <cell r="F35">
            <v>1559</v>
          </cell>
          <cell r="G35">
            <v>514</v>
          </cell>
          <cell r="H35">
            <v>1</v>
          </cell>
          <cell r="I35">
            <v>4146</v>
          </cell>
          <cell r="J35">
            <v>4146</v>
          </cell>
          <cell r="K35">
            <v>5</v>
          </cell>
          <cell r="L35">
            <v>124.70855319148937</v>
          </cell>
          <cell r="M35">
            <v>40</v>
          </cell>
          <cell r="N35">
            <v>164.70855319148939</v>
          </cell>
          <cell r="O35">
            <v>29.108921784091397</v>
          </cell>
          <cell r="P35">
            <v>3.75</v>
          </cell>
          <cell r="Q35">
            <v>2.5</v>
          </cell>
          <cell r="R35">
            <v>35.358921784091393</v>
          </cell>
        </row>
        <row r="36">
          <cell r="C36" t="str">
            <v>XGW44668</v>
          </cell>
          <cell r="D36" t="str">
            <v>#</v>
          </cell>
          <cell r="E36" t="str">
            <v>PANEL-BUS SIDE INNER 03</v>
          </cell>
          <cell r="F36">
            <v>764</v>
          </cell>
          <cell r="G36">
            <v>256</v>
          </cell>
          <cell r="H36">
            <v>1</v>
          </cell>
          <cell r="I36">
            <v>2040</v>
          </cell>
          <cell r="J36">
            <v>2040</v>
          </cell>
          <cell r="K36">
            <v>5</v>
          </cell>
          <cell r="L36">
            <v>71.520851063829781</v>
          </cell>
          <cell r="M36">
            <v>40</v>
          </cell>
          <cell r="N36">
            <v>111.52085106382978</v>
          </cell>
          <cell r="O36">
            <v>19.709065910731727</v>
          </cell>
          <cell r="P36">
            <v>3.75</v>
          </cell>
          <cell r="Q36">
            <v>2.5</v>
          </cell>
          <cell r="R36">
            <v>25.959065910731727</v>
          </cell>
        </row>
        <row r="37">
          <cell r="C37" t="str">
            <v>XGW44868</v>
          </cell>
          <cell r="D37" t="str">
            <v>#</v>
          </cell>
          <cell r="E37" t="str">
            <v>PANEL-BUS SIDE INNER 05</v>
          </cell>
          <cell r="F37">
            <v>749</v>
          </cell>
          <cell r="G37">
            <v>561</v>
          </cell>
          <cell r="H37">
            <v>1</v>
          </cell>
          <cell r="I37">
            <v>2620</v>
          </cell>
          <cell r="J37">
            <v>2620</v>
          </cell>
          <cell r="K37">
            <v>8</v>
          </cell>
          <cell r="L37">
            <v>98.16893617021276</v>
          </cell>
          <cell r="M37">
            <v>40</v>
          </cell>
          <cell r="N37">
            <v>138.16893617021276</v>
          </cell>
          <cell r="O37">
            <v>24.418578622896053</v>
          </cell>
          <cell r="P37">
            <v>3.75</v>
          </cell>
          <cell r="Q37">
            <v>2.5</v>
          </cell>
          <cell r="R37">
            <v>30.668578622896053</v>
          </cell>
        </row>
        <row r="38">
          <cell r="C38" t="str">
            <v>XGW45968</v>
          </cell>
          <cell r="D38" t="str">
            <v>#</v>
          </cell>
          <cell r="E38" t="str">
            <v>PANEL-BUS SIDE INNER 06</v>
          </cell>
          <cell r="F38">
            <v>1352</v>
          </cell>
          <cell r="G38">
            <v>179</v>
          </cell>
          <cell r="H38">
            <v>1</v>
          </cell>
          <cell r="I38">
            <v>3062</v>
          </cell>
          <cell r="J38">
            <v>3062</v>
          </cell>
          <cell r="K38">
            <v>5</v>
          </cell>
          <cell r="L38">
            <v>97.331787234042551</v>
          </cell>
          <cell r="M38">
            <v>40</v>
          </cell>
          <cell r="N38">
            <v>137.33178723404257</v>
          </cell>
          <cell r="O38">
            <v>24.2706293972339</v>
          </cell>
          <cell r="P38">
            <v>3.75</v>
          </cell>
          <cell r="Q38">
            <v>2.5</v>
          </cell>
          <cell r="R38">
            <v>30.5206293972339</v>
          </cell>
        </row>
        <row r="39">
          <cell r="C39" t="str">
            <v>XGW46068</v>
          </cell>
          <cell r="D39" t="str">
            <v>#</v>
          </cell>
          <cell r="E39" t="str">
            <v>PANEL-BUS SIDE INNER 09</v>
          </cell>
          <cell r="F39">
            <v>958</v>
          </cell>
          <cell r="G39">
            <v>164</v>
          </cell>
          <cell r="H39">
            <v>1</v>
          </cell>
          <cell r="I39">
            <v>2244</v>
          </cell>
          <cell r="J39">
            <v>2244</v>
          </cell>
          <cell r="K39">
            <v>4</v>
          </cell>
          <cell r="L39">
            <v>72.672936170212765</v>
          </cell>
          <cell r="M39">
            <v>40</v>
          </cell>
          <cell r="N39">
            <v>112.67293617021276</v>
          </cell>
          <cell r="O39">
            <v>19.912673765943289</v>
          </cell>
          <cell r="P39">
            <v>3.75</v>
          </cell>
          <cell r="Q39">
            <v>2.5</v>
          </cell>
          <cell r="R39">
            <v>26.162673765943289</v>
          </cell>
        </row>
        <row r="40">
          <cell r="C40" t="str">
            <v>XGW49168</v>
          </cell>
          <cell r="D40" t="str">
            <v>#</v>
          </cell>
          <cell r="E40" t="str">
            <v>PANEL-BUS SIDE INNER RH-FOH-VERTICAL</v>
          </cell>
          <cell r="F40">
            <v>700</v>
          </cell>
          <cell r="G40">
            <v>520</v>
          </cell>
          <cell r="H40">
            <v>1</v>
          </cell>
          <cell r="I40">
            <v>2440</v>
          </cell>
          <cell r="J40">
            <v>2440</v>
          </cell>
          <cell r="K40">
            <v>4</v>
          </cell>
          <cell r="L40">
            <v>77.622978723404259</v>
          </cell>
          <cell r="M40">
            <v>40</v>
          </cell>
          <cell r="N40">
            <v>117.62297872340426</v>
          </cell>
          <cell r="O40">
            <v>20.787494160614941</v>
          </cell>
          <cell r="P40">
            <v>3.75</v>
          </cell>
          <cell r="Q40">
            <v>2.5</v>
          </cell>
          <cell r="R40">
            <v>27.037494160614941</v>
          </cell>
        </row>
        <row r="41">
          <cell r="C41" t="str">
            <v>XLB11468</v>
          </cell>
          <cell r="D41" t="str">
            <v>#</v>
          </cell>
          <cell r="E41" t="str">
            <v>COVER-BUS BODY INTER. TRIM LH FOH PILLAR 01</v>
          </cell>
          <cell r="F41">
            <v>403</v>
          </cell>
          <cell r="G41">
            <v>132</v>
          </cell>
          <cell r="H41">
            <v>1</v>
          </cell>
          <cell r="I41">
            <v>1070</v>
          </cell>
          <cell r="J41">
            <v>1070</v>
          </cell>
          <cell r="K41">
            <v>4</v>
          </cell>
          <cell r="L41">
            <v>43.023191489361707</v>
          </cell>
          <cell r="M41">
            <v>40</v>
          </cell>
          <cell r="N41">
            <v>83.023191489361707</v>
          </cell>
          <cell r="O41">
            <v>14.672678136634532</v>
          </cell>
          <cell r="P41">
            <v>3.75</v>
          </cell>
          <cell r="Q41">
            <v>2.5</v>
          </cell>
          <cell r="R41">
            <v>20.922678136634531</v>
          </cell>
        </row>
        <row r="42">
          <cell r="C42" t="str">
            <v>X7P01668</v>
          </cell>
          <cell r="D42" t="str">
            <v>#</v>
          </cell>
          <cell r="E42" t="str">
            <v>DOOR FINISHERS - FOR VERTICAL PILLAR 02</v>
          </cell>
          <cell r="F42">
            <v>668</v>
          </cell>
          <cell r="G42">
            <v>338</v>
          </cell>
          <cell r="H42">
            <v>1</v>
          </cell>
          <cell r="I42">
            <v>2012</v>
          </cell>
          <cell r="J42">
            <v>2012</v>
          </cell>
          <cell r="K42">
            <v>4</v>
          </cell>
          <cell r="L42">
            <v>66.813702127659582</v>
          </cell>
          <cell r="M42">
            <v>40</v>
          </cell>
          <cell r="N42">
            <v>106.81370212765958</v>
          </cell>
          <cell r="O42">
            <v>18.877172074291135</v>
          </cell>
          <cell r="P42">
            <v>3.75</v>
          </cell>
          <cell r="Q42">
            <v>2.5</v>
          </cell>
          <cell r="R42">
            <v>25.127172074291135</v>
          </cell>
        </row>
        <row r="43">
          <cell r="C43" t="str">
            <v>X7P01768</v>
          </cell>
          <cell r="D43" t="str">
            <v>#</v>
          </cell>
          <cell r="E43" t="str">
            <v>DOOR FINISHERS - FOR VERTICAL PILLAR 01</v>
          </cell>
          <cell r="F43">
            <v>1084</v>
          </cell>
          <cell r="G43">
            <v>92</v>
          </cell>
          <cell r="H43">
            <v>1</v>
          </cell>
          <cell r="I43">
            <v>2352</v>
          </cell>
          <cell r="J43">
            <v>2352</v>
          </cell>
          <cell r="K43">
            <v>5</v>
          </cell>
          <cell r="L43">
            <v>79.400510638297874</v>
          </cell>
          <cell r="M43">
            <v>40</v>
          </cell>
          <cell r="N43">
            <v>119.40051063829787</v>
          </cell>
          <cell r="O43">
            <v>21.101637151229458</v>
          </cell>
          <cell r="P43">
            <v>3.75</v>
          </cell>
          <cell r="Q43">
            <v>2.5</v>
          </cell>
          <cell r="R43">
            <v>27.351637151229458</v>
          </cell>
        </row>
        <row r="44">
          <cell r="C44" t="str">
            <v>XGW43568</v>
          </cell>
          <cell r="D44" t="str">
            <v>#</v>
          </cell>
          <cell r="E44" t="str">
            <v>PANEL-BUS SIDE INNER -WB BOTTOM -03</v>
          </cell>
          <cell r="F44">
            <v>501</v>
          </cell>
          <cell r="G44">
            <v>60</v>
          </cell>
          <cell r="H44">
            <v>1</v>
          </cell>
          <cell r="I44">
            <v>1122</v>
          </cell>
          <cell r="J44">
            <v>1122</v>
          </cell>
          <cell r="K44">
            <v>4</v>
          </cell>
          <cell r="L44">
            <v>44.336468085106382</v>
          </cell>
          <cell r="M44">
            <v>40</v>
          </cell>
          <cell r="N44">
            <v>84.336468085106389</v>
          </cell>
          <cell r="O44">
            <v>14.904773343384155</v>
          </cell>
          <cell r="P44">
            <v>3.75</v>
          </cell>
          <cell r="Q44">
            <v>2.5</v>
          </cell>
          <cell r="R44">
            <v>21.154773343384157</v>
          </cell>
        </row>
        <row r="45">
          <cell r="C45" t="str">
            <v>XGW43668</v>
          </cell>
          <cell r="D45" t="str">
            <v>#</v>
          </cell>
          <cell r="E45" t="str">
            <v>PANEL-BUS SIDE INNER -FOH</v>
          </cell>
          <cell r="F45">
            <v>501</v>
          </cell>
          <cell r="G45">
            <v>60</v>
          </cell>
          <cell r="H45">
            <v>1</v>
          </cell>
          <cell r="I45">
            <v>1122</v>
          </cell>
          <cell r="J45">
            <v>1122</v>
          </cell>
          <cell r="K45">
            <v>4</v>
          </cell>
          <cell r="L45">
            <v>44.336468085106382</v>
          </cell>
          <cell r="M45">
            <v>40</v>
          </cell>
          <cell r="N45">
            <v>84.336468085106389</v>
          </cell>
          <cell r="O45">
            <v>14.904773343384155</v>
          </cell>
          <cell r="P45">
            <v>3.75</v>
          </cell>
          <cell r="Q45">
            <v>2.5</v>
          </cell>
          <cell r="R45">
            <v>21.154773343384157</v>
          </cell>
        </row>
        <row r="46">
          <cell r="C46" t="str">
            <v>XGW43768</v>
          </cell>
          <cell r="D46" t="str">
            <v>#</v>
          </cell>
          <cell r="E46" t="str">
            <v>PANEL-BUS SIDE INNER -03</v>
          </cell>
          <cell r="F46">
            <v>700</v>
          </cell>
          <cell r="G46">
            <v>600</v>
          </cell>
          <cell r="H46">
            <v>1</v>
          </cell>
          <cell r="I46">
            <v>2600</v>
          </cell>
          <cell r="J46">
            <v>2600</v>
          </cell>
          <cell r="K46">
            <v>4</v>
          </cell>
          <cell r="L46">
            <v>81.66382978723405</v>
          </cell>
          <cell r="M46">
            <v>40</v>
          </cell>
          <cell r="N46">
            <v>121.66382978723405</v>
          </cell>
          <cell r="O46">
            <v>21.501633258306086</v>
          </cell>
          <cell r="P46">
            <v>3.75</v>
          </cell>
          <cell r="Q46">
            <v>2.5</v>
          </cell>
          <cell r="R46">
            <v>27.751633258306086</v>
          </cell>
        </row>
        <row r="47">
          <cell r="C47" t="str">
            <v>XGW43968</v>
          </cell>
          <cell r="D47" t="str">
            <v>#</v>
          </cell>
          <cell r="E47" t="str">
            <v>PANEL-BUS SIDE INNER -08</v>
          </cell>
          <cell r="F47">
            <v>615</v>
          </cell>
          <cell r="G47">
            <v>514</v>
          </cell>
          <cell r="H47">
            <v>1</v>
          </cell>
          <cell r="I47">
            <v>2258</v>
          </cell>
          <cell r="J47">
            <v>2258</v>
          </cell>
          <cell r="K47">
            <v>5</v>
          </cell>
          <cell r="L47">
            <v>77.026510638297879</v>
          </cell>
          <cell r="M47">
            <v>40</v>
          </cell>
          <cell r="N47">
            <v>117.02651063829788</v>
          </cell>
          <cell r="O47">
            <v>20.682080431335908</v>
          </cell>
          <cell r="P47">
            <v>3.75</v>
          </cell>
          <cell r="Q47">
            <v>2.5</v>
          </cell>
          <cell r="R47">
            <v>26.932080431335908</v>
          </cell>
        </row>
        <row r="48">
          <cell r="C48" t="str">
            <v>XGW44068</v>
          </cell>
          <cell r="D48" t="str">
            <v>#</v>
          </cell>
          <cell r="E48" t="str">
            <v>PANEL-BUS SIDE INNER -LH FOH UPPER</v>
          </cell>
          <cell r="F48">
            <v>1125</v>
          </cell>
          <cell r="G48">
            <v>376</v>
          </cell>
          <cell r="H48">
            <v>1</v>
          </cell>
          <cell r="I48">
            <v>3002</v>
          </cell>
          <cell r="J48">
            <v>3002</v>
          </cell>
          <cell r="K48">
            <v>5</v>
          </cell>
          <cell r="L48">
            <v>95.816468085106393</v>
          </cell>
          <cell r="M48">
            <v>40</v>
          </cell>
          <cell r="N48">
            <v>135.81646808510641</v>
          </cell>
          <cell r="O48">
            <v>24.002827235599725</v>
          </cell>
          <cell r="P48">
            <v>3.75</v>
          </cell>
          <cell r="Q48">
            <v>2.5</v>
          </cell>
          <cell r="R48">
            <v>30.252827235599725</v>
          </cell>
        </row>
        <row r="49">
          <cell r="C49" t="str">
            <v>XGW44968</v>
          </cell>
          <cell r="D49" t="str">
            <v>#</v>
          </cell>
          <cell r="E49" t="str">
            <v>PANEL-BUS SIDE INNER 07</v>
          </cell>
          <cell r="F49">
            <v>1129</v>
          </cell>
          <cell r="G49">
            <v>678</v>
          </cell>
          <cell r="H49">
            <v>1</v>
          </cell>
          <cell r="I49">
            <v>3614</v>
          </cell>
          <cell r="J49">
            <v>3614</v>
          </cell>
          <cell r="K49">
            <v>6</v>
          </cell>
          <cell r="L49">
            <v>115.27272340425532</v>
          </cell>
          <cell r="M49">
            <v>40</v>
          </cell>
          <cell r="N49">
            <v>155.27272340425532</v>
          </cell>
          <cell r="O49">
            <v>27.441328778612984</v>
          </cell>
          <cell r="P49">
            <v>3.75</v>
          </cell>
          <cell r="Q49">
            <v>2.5</v>
          </cell>
          <cell r="R49">
            <v>33.691328778612984</v>
          </cell>
        </row>
        <row r="50">
          <cell r="C50" t="str">
            <v>XGW45068</v>
          </cell>
          <cell r="D50" t="str">
            <v>#</v>
          </cell>
          <cell r="E50" t="str">
            <v>PANEL-BUS SIDE INNER 08</v>
          </cell>
          <cell r="F50">
            <v>531</v>
          </cell>
          <cell r="G50">
            <v>679</v>
          </cell>
          <cell r="H50">
            <v>1</v>
          </cell>
          <cell r="I50">
            <v>2420</v>
          </cell>
          <cell r="J50">
            <v>2420</v>
          </cell>
          <cell r="K50">
            <v>6</v>
          </cell>
          <cell r="L50">
            <v>85.117872340425521</v>
          </cell>
          <cell r="M50">
            <v>40</v>
          </cell>
          <cell r="N50">
            <v>125.11787234042552</v>
          </cell>
          <cell r="O50">
            <v>22.112065762092833</v>
          </cell>
          <cell r="P50">
            <v>3.75</v>
          </cell>
          <cell r="Q50">
            <v>2.5</v>
          </cell>
          <cell r="R50">
            <v>28.362065762092833</v>
          </cell>
        </row>
        <row r="51">
          <cell r="C51" t="str">
            <v>XGW45168</v>
          </cell>
          <cell r="D51" t="str">
            <v>#</v>
          </cell>
          <cell r="E51" t="str">
            <v>PANEL-BUS SIDE INNER 08</v>
          </cell>
          <cell r="F51">
            <v>1450</v>
          </cell>
          <cell r="G51">
            <v>520</v>
          </cell>
          <cell r="H51">
            <v>1</v>
          </cell>
          <cell r="I51">
            <v>3940</v>
          </cell>
          <cell r="J51">
            <v>3940</v>
          </cell>
          <cell r="K51">
            <v>6</v>
          </cell>
          <cell r="L51">
            <v>123.50595744680851</v>
          </cell>
          <cell r="M51">
            <v>40</v>
          </cell>
          <cell r="N51">
            <v>163.50595744680851</v>
          </cell>
          <cell r="O51">
            <v>28.896387190158688</v>
          </cell>
          <cell r="P51">
            <v>3.75</v>
          </cell>
          <cell r="Q51">
            <v>2.5</v>
          </cell>
          <cell r="R51">
            <v>35.146387190158691</v>
          </cell>
        </row>
        <row r="52">
          <cell r="C52" t="str">
            <v>XGW45568</v>
          </cell>
          <cell r="D52" t="str">
            <v>#</v>
          </cell>
          <cell r="E52" t="str">
            <v>PANEL-BUS SIDE INNER 13</v>
          </cell>
          <cell r="F52">
            <v>421</v>
          </cell>
          <cell r="G52">
            <v>678</v>
          </cell>
          <cell r="H52">
            <v>1</v>
          </cell>
          <cell r="I52">
            <v>2198</v>
          </cell>
          <cell r="J52">
            <v>2198</v>
          </cell>
          <cell r="K52">
            <v>4</v>
          </cell>
          <cell r="L52">
            <v>71.511191489361693</v>
          </cell>
          <cell r="M52">
            <v>40</v>
          </cell>
          <cell r="N52">
            <v>111.51119148936169</v>
          </cell>
          <cell r="O52">
            <v>19.707358775357086</v>
          </cell>
          <cell r="P52">
            <v>3.75</v>
          </cell>
          <cell r="Q52">
            <v>2.5</v>
          </cell>
          <cell r="R52">
            <v>25.957358775357086</v>
          </cell>
        </row>
        <row r="53">
          <cell r="C53" t="str">
            <v>XGW45668</v>
          </cell>
          <cell r="D53" t="str">
            <v>#</v>
          </cell>
          <cell r="E53" t="str">
            <v>PANEL-BUS SIDE INNER 09</v>
          </cell>
          <cell r="F53">
            <v>1381</v>
          </cell>
          <cell r="G53">
            <v>514</v>
          </cell>
          <cell r="H53">
            <v>1</v>
          </cell>
          <cell r="I53">
            <v>3790</v>
          </cell>
          <cell r="J53">
            <v>3790</v>
          </cell>
          <cell r="K53">
            <v>6</v>
          </cell>
          <cell r="L53">
            <v>119.71765957446809</v>
          </cell>
          <cell r="M53">
            <v>40</v>
          </cell>
          <cell r="N53">
            <v>159.71765957446809</v>
          </cell>
          <cell r="O53">
            <v>28.226881786073246</v>
          </cell>
          <cell r="P53">
            <v>3.75</v>
          </cell>
          <cell r="Q53">
            <v>2.5</v>
          </cell>
          <cell r="R53">
            <v>34.47688178607325</v>
          </cell>
        </row>
        <row r="54">
          <cell r="C54" t="str">
            <v>FC488568</v>
          </cell>
          <cell r="D54" t="str">
            <v>#</v>
          </cell>
          <cell r="E54" t="str">
            <v>COVER-BUS BODY INTER. TRIM LH WB PILLER IRT</v>
          </cell>
          <cell r="F54">
            <v>1449</v>
          </cell>
          <cell r="G54">
            <v>136</v>
          </cell>
          <cell r="H54">
            <v>1</v>
          </cell>
          <cell r="I54">
            <v>3170</v>
          </cell>
          <cell r="J54">
            <v>3170</v>
          </cell>
          <cell r="K54">
            <v>5</v>
          </cell>
          <cell r="L54">
            <v>100.05936170212766</v>
          </cell>
          <cell r="M54">
            <v>40</v>
          </cell>
          <cell r="N54">
            <v>140.05936170212766</v>
          </cell>
          <cell r="O54">
            <v>24.752673288175423</v>
          </cell>
          <cell r="P54">
            <v>3.75</v>
          </cell>
          <cell r="Q54">
            <v>2.5</v>
          </cell>
          <cell r="R54">
            <v>31.002673288175423</v>
          </cell>
        </row>
        <row r="55">
          <cell r="C55" t="str">
            <v>FC488868</v>
          </cell>
          <cell r="D55" t="str">
            <v>#1</v>
          </cell>
          <cell r="E55" t="str">
            <v>COVER-BUS BODY INTER. TRIM - FOR VERTICAL PILLAR 01</v>
          </cell>
          <cell r="F55">
            <v>1164</v>
          </cell>
          <cell r="G55">
            <v>144</v>
          </cell>
          <cell r="H55">
            <v>1</v>
          </cell>
          <cell r="I55">
            <v>2616</v>
          </cell>
          <cell r="J55">
            <v>2616</v>
          </cell>
          <cell r="K55">
            <v>5</v>
          </cell>
          <cell r="L55">
            <v>86.067914893617029</v>
          </cell>
          <cell r="M55">
            <v>40</v>
          </cell>
          <cell r="N55">
            <v>126.06791489361703</v>
          </cell>
          <cell r="O55">
            <v>22.279966662419842</v>
          </cell>
          <cell r="P55">
            <v>3.75</v>
          </cell>
          <cell r="Q55">
            <v>2.5</v>
          </cell>
          <cell r="R55">
            <v>28.529966662419842</v>
          </cell>
        </row>
        <row r="56">
          <cell r="C56" t="str">
            <v>FRB12768</v>
          </cell>
          <cell r="D56" t="str">
            <v>#</v>
          </cell>
          <cell r="E56" t="str">
            <v>PARTITION PANEL 01</v>
          </cell>
          <cell r="F56">
            <v>1810</v>
          </cell>
          <cell r="G56">
            <v>721</v>
          </cell>
          <cell r="H56">
            <v>1</v>
          </cell>
          <cell r="I56">
            <v>5062</v>
          </cell>
          <cell r="J56">
            <v>5062</v>
          </cell>
          <cell r="K56">
            <v>5</v>
          </cell>
          <cell r="L56">
            <v>147.8424255319149</v>
          </cell>
          <cell r="M56">
            <v>40</v>
          </cell>
          <cell r="N56">
            <v>187.8424255319149</v>
          </cell>
          <cell r="O56">
            <v>33.197368118373184</v>
          </cell>
          <cell r="P56">
            <v>3.75</v>
          </cell>
          <cell r="Q56">
            <v>2.5</v>
          </cell>
          <cell r="R56">
            <v>39.447368118373184</v>
          </cell>
        </row>
        <row r="57">
          <cell r="C57" t="str">
            <v>FRB12668</v>
          </cell>
          <cell r="D57" t="str">
            <v>#</v>
          </cell>
          <cell r="E57" t="str">
            <v>PARTITION PANEL IRT KFW 222 VIKING MOFUSSIL</v>
          </cell>
          <cell r="F57">
            <v>1810</v>
          </cell>
          <cell r="G57">
            <v>95</v>
          </cell>
          <cell r="H57">
            <v>1</v>
          </cell>
          <cell r="I57">
            <v>3810</v>
          </cell>
          <cell r="J57">
            <v>3810</v>
          </cell>
          <cell r="K57">
            <v>4</v>
          </cell>
          <cell r="L57">
            <v>112.22276595744681</v>
          </cell>
          <cell r="M57">
            <v>40</v>
          </cell>
          <cell r="N57">
            <v>152.22276595744682</v>
          </cell>
          <cell r="O57">
            <v>26.902310184595351</v>
          </cell>
          <cell r="P57">
            <v>3.75</v>
          </cell>
          <cell r="Q57">
            <v>2.5</v>
          </cell>
          <cell r="R57">
            <v>33.152310184595351</v>
          </cell>
        </row>
        <row r="58">
          <cell r="C58" t="str">
            <v>FRB12868</v>
          </cell>
          <cell r="D58" t="str">
            <v>#</v>
          </cell>
          <cell r="E58" t="str">
            <v>PARTITION PANEL 01</v>
          </cell>
          <cell r="F58">
            <v>1810</v>
          </cell>
          <cell r="G58">
            <v>763</v>
          </cell>
          <cell r="H58">
            <v>1</v>
          </cell>
          <cell r="I58">
            <v>5146</v>
          </cell>
          <cell r="J58">
            <v>5146</v>
          </cell>
          <cell r="K58">
            <v>8</v>
          </cell>
          <cell r="L58">
            <v>161.96387234042552</v>
          </cell>
          <cell r="M58">
            <v>40</v>
          </cell>
          <cell r="N58">
            <v>201.96387234042552</v>
          </cell>
          <cell r="O58">
            <v>35.693049627694961</v>
          </cell>
          <cell r="P58">
            <v>3.75</v>
          </cell>
          <cell r="Q58">
            <v>2.5</v>
          </cell>
          <cell r="R58">
            <v>41.943049627694961</v>
          </cell>
        </row>
        <row r="59">
          <cell r="C59" t="str">
            <v>FRB15868</v>
          </cell>
          <cell r="D59" t="str">
            <v>#</v>
          </cell>
          <cell r="E59" t="str">
            <v>PARTITION PANEL LH-ROH-1</v>
          </cell>
          <cell r="F59">
            <v>800</v>
          </cell>
          <cell r="G59">
            <v>750</v>
          </cell>
          <cell r="H59">
            <v>1</v>
          </cell>
          <cell r="I59">
            <v>3100</v>
          </cell>
          <cell r="J59">
            <v>3100</v>
          </cell>
          <cell r="K59">
            <v>4</v>
          </cell>
          <cell r="L59">
            <v>94.291489361702133</v>
          </cell>
          <cell r="M59">
            <v>40</v>
          </cell>
          <cell r="N59">
            <v>134.29148936170213</v>
          </cell>
          <cell r="O59">
            <v>23.733317938590904</v>
          </cell>
          <cell r="P59">
            <v>3.75</v>
          </cell>
          <cell r="Q59">
            <v>2.5</v>
          </cell>
          <cell r="R59">
            <v>29.983317938590904</v>
          </cell>
        </row>
        <row r="60">
          <cell r="C60" t="str">
            <v>FRB15968</v>
          </cell>
          <cell r="D60" t="str">
            <v>#</v>
          </cell>
          <cell r="E60" t="str">
            <v>PARTITION PANEL LH-FOH-2</v>
          </cell>
          <cell r="F60">
            <v>1200</v>
          </cell>
          <cell r="G60">
            <v>735</v>
          </cell>
          <cell r="H60">
            <v>1</v>
          </cell>
          <cell r="I60">
            <v>3870</v>
          </cell>
          <cell r="J60">
            <v>3870</v>
          </cell>
          <cell r="K60">
            <v>7</v>
          </cell>
          <cell r="L60">
            <v>125.73808510638298</v>
          </cell>
          <cell r="M60">
            <v>40</v>
          </cell>
          <cell r="N60">
            <v>165.73808510638298</v>
          </cell>
          <cell r="O60">
            <v>29.290870829263461</v>
          </cell>
          <cell r="P60">
            <v>3.75</v>
          </cell>
          <cell r="Q60">
            <v>2.5</v>
          </cell>
          <cell r="R60">
            <v>35.540870829263461</v>
          </cell>
        </row>
        <row r="61">
          <cell r="C61" t="str">
            <v>FRB16068</v>
          </cell>
          <cell r="D61" t="str">
            <v>#</v>
          </cell>
          <cell r="E61" t="str">
            <v>PARTITION PANEL LH-FOH-1</v>
          </cell>
          <cell r="F61">
            <v>1345</v>
          </cell>
          <cell r="G61">
            <v>736</v>
          </cell>
          <cell r="H61">
            <v>1</v>
          </cell>
          <cell r="I61">
            <v>4162</v>
          </cell>
          <cell r="J61">
            <v>4162</v>
          </cell>
          <cell r="K61">
            <v>7</v>
          </cell>
          <cell r="L61">
            <v>133.11263829787234</v>
          </cell>
          <cell r="M61">
            <v>40</v>
          </cell>
          <cell r="N61">
            <v>173.11263829787234</v>
          </cell>
          <cell r="O61">
            <v>30.594174682549792</v>
          </cell>
          <cell r="P61">
            <v>3.75</v>
          </cell>
          <cell r="Q61">
            <v>2.5</v>
          </cell>
          <cell r="R61">
            <v>36.844174682549792</v>
          </cell>
        </row>
        <row r="62">
          <cell r="C62" t="str">
            <v>FW824668</v>
          </cell>
          <cell r="D62" t="str">
            <v>#</v>
          </cell>
          <cell r="E62" t="str">
            <v>BUS ROOF INNER PANEL ABS 3THK -02</v>
          </cell>
          <cell r="F62">
            <v>965</v>
          </cell>
          <cell r="G62">
            <v>686</v>
          </cell>
          <cell r="H62">
            <v>1</v>
          </cell>
          <cell r="I62">
            <v>3302</v>
          </cell>
          <cell r="J62">
            <v>3302</v>
          </cell>
          <cell r="K62">
            <v>7</v>
          </cell>
          <cell r="L62">
            <v>111.39306382978724</v>
          </cell>
          <cell r="M62">
            <v>40</v>
          </cell>
          <cell r="N62">
            <v>151.39306382978725</v>
          </cell>
          <cell r="O62">
            <v>26.755677032459907</v>
          </cell>
          <cell r="P62">
            <v>3.75</v>
          </cell>
          <cell r="Q62">
            <v>2.5</v>
          </cell>
          <cell r="R62">
            <v>33.005677032459907</v>
          </cell>
        </row>
        <row r="63">
          <cell r="C63" t="str">
            <v>F3S08668</v>
          </cell>
          <cell r="D63" t="str">
            <v>#</v>
          </cell>
          <cell r="E63" t="str">
            <v>BEZEL IP</v>
          </cell>
          <cell r="F63">
            <v>350</v>
          </cell>
          <cell r="G63">
            <v>400</v>
          </cell>
          <cell r="H63">
            <v>1</v>
          </cell>
          <cell r="I63">
            <v>1500</v>
          </cell>
          <cell r="J63">
            <v>1500</v>
          </cell>
          <cell r="K63">
            <v>5</v>
          </cell>
          <cell r="L63">
            <v>57.88297872340425</v>
          </cell>
          <cell r="M63">
            <v>40</v>
          </cell>
          <cell r="N63">
            <v>97.88297872340425</v>
          </cell>
          <cell r="O63">
            <v>17.298846456024123</v>
          </cell>
          <cell r="P63">
            <v>3.75</v>
          </cell>
          <cell r="Q63">
            <v>2.5</v>
          </cell>
          <cell r="R63">
            <v>23.548846456024123</v>
          </cell>
        </row>
        <row r="64">
          <cell r="C64" t="str">
            <v>FDZ12368</v>
          </cell>
          <cell r="D64" t="str">
            <v>#2</v>
          </cell>
          <cell r="E64" t="str">
            <v>Panel-Driver Door Trim GSRTC ABS</v>
          </cell>
          <cell r="F64">
            <v>1526</v>
          </cell>
          <cell r="G64">
            <v>788</v>
          </cell>
          <cell r="H64">
            <v>1</v>
          </cell>
          <cell r="I64">
            <v>9256</v>
          </cell>
          <cell r="J64">
            <v>9256</v>
          </cell>
          <cell r="K64">
            <v>34</v>
          </cell>
          <cell r="L64">
            <v>369.76323404255322</v>
          </cell>
          <cell r="M64">
            <v>40</v>
          </cell>
          <cell r="N64">
            <v>409.76323404255322</v>
          </cell>
          <cell r="O64">
            <v>72.417404552596935</v>
          </cell>
          <cell r="P64">
            <v>3.75</v>
          </cell>
          <cell r="Q64">
            <v>2.5</v>
          </cell>
          <cell r="R64">
            <v>78.667404552596935</v>
          </cell>
        </row>
        <row r="65">
          <cell r="C65" t="str">
            <v>FDZ13068</v>
          </cell>
          <cell r="D65" t="str">
            <v>#</v>
          </cell>
          <cell r="E65" t="str">
            <v>PANEL-EMERGENCY EXIT DOOR TRIM INTERIOR</v>
          </cell>
          <cell r="F65">
            <v>1302</v>
          </cell>
          <cell r="G65">
            <v>645</v>
          </cell>
          <cell r="H65">
            <v>1</v>
          </cell>
          <cell r="I65">
            <v>3894</v>
          </cell>
          <cell r="J65">
            <v>3894</v>
          </cell>
          <cell r="K65">
            <v>22</v>
          </cell>
          <cell r="L65">
            <v>186.34421276595745</v>
          </cell>
          <cell r="M65">
            <v>40</v>
          </cell>
          <cell r="N65">
            <v>226.34421276595745</v>
          </cell>
          <cell r="O65">
            <v>40.001784109086792</v>
          </cell>
          <cell r="P65">
            <v>3.75</v>
          </cell>
          <cell r="Q65">
            <v>2.5</v>
          </cell>
          <cell r="R65">
            <v>46.251784109086792</v>
          </cell>
        </row>
        <row r="66">
          <cell r="I66">
            <v>0</v>
          </cell>
          <cell r="J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I67">
            <v>0</v>
          </cell>
          <cell r="J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I68">
            <v>0</v>
          </cell>
          <cell r="J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I69">
            <v>0</v>
          </cell>
          <cell r="J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I70">
            <v>0</v>
          </cell>
          <cell r="J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I71">
            <v>0</v>
          </cell>
          <cell r="J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I72">
            <v>0</v>
          </cell>
          <cell r="J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I73">
            <v>0</v>
          </cell>
          <cell r="J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I74">
            <v>0</v>
          </cell>
          <cell r="J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I75">
            <v>0</v>
          </cell>
          <cell r="J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I76">
            <v>0</v>
          </cell>
          <cell r="J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I77">
            <v>0</v>
          </cell>
          <cell r="J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I78">
            <v>0</v>
          </cell>
          <cell r="J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I79">
            <v>0</v>
          </cell>
          <cell r="J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I80">
            <v>0</v>
          </cell>
          <cell r="J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I81">
            <v>0</v>
          </cell>
          <cell r="J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I82">
            <v>0</v>
          </cell>
          <cell r="J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I83">
            <v>0</v>
          </cell>
          <cell r="J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I84">
            <v>0</v>
          </cell>
          <cell r="J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I85">
            <v>0</v>
          </cell>
          <cell r="J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</sheetData>
      <sheetData sheetId="5"/>
      <sheetData sheetId="6"/>
      <sheetData sheetId="7"/>
      <sheetData sheetId="8"/>
      <sheetData sheetId="9">
        <row r="40">
          <cell r="F40">
            <v>35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7">
          <cell r="C17">
            <v>0.01</v>
          </cell>
        </row>
        <row r="18">
          <cell r="C18">
            <v>2.2499999999999999E-2</v>
          </cell>
        </row>
        <row r="19">
          <cell r="C19">
            <v>0.08</v>
          </cell>
        </row>
        <row r="20">
          <cell r="C20">
            <v>7.0000000000000007E-2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9B58-EB80-427A-9ED8-A123AEB7FEA0}">
  <dimension ref="A2:AP50"/>
  <sheetViews>
    <sheetView tabSelected="1" workbookViewId="0">
      <selection activeCell="U12" sqref="U12"/>
    </sheetView>
  </sheetViews>
  <sheetFormatPr defaultRowHeight="15" x14ac:dyDescent="0.25"/>
  <sheetData>
    <row r="2" spans="1:42" s="5" customFormat="1" ht="87.75" customHeight="1" x14ac:dyDescent="0.2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 t="s">
        <v>7</v>
      </c>
      <c r="M2" s="3" t="s">
        <v>8</v>
      </c>
      <c r="N2" s="1" t="s">
        <v>11</v>
      </c>
      <c r="O2" s="1" t="s">
        <v>12</v>
      </c>
      <c r="P2" s="1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/>
      <c r="AO2" s="4"/>
    </row>
    <row r="3" spans="1:42" s="5" customFormat="1" ht="15.75" x14ac:dyDescent="0.25">
      <c r="A3" s="6" t="s">
        <v>37</v>
      </c>
      <c r="B3" s="7">
        <v>3</v>
      </c>
      <c r="C3" s="7" t="s">
        <v>38</v>
      </c>
      <c r="D3" s="7" t="s">
        <v>39</v>
      </c>
      <c r="E3" s="6" t="s">
        <v>40</v>
      </c>
      <c r="F3" s="8">
        <v>1</v>
      </c>
      <c r="G3" s="8">
        <v>1</v>
      </c>
      <c r="H3" s="9">
        <v>805</v>
      </c>
      <c r="I3" s="10">
        <v>109</v>
      </c>
      <c r="J3" s="10">
        <v>60</v>
      </c>
      <c r="K3" s="11">
        <v>3</v>
      </c>
      <c r="L3" s="11">
        <f t="shared" ref="L3:L14" si="0">+H3+40*2+100</f>
        <v>985</v>
      </c>
      <c r="M3" s="11">
        <f>I3+J3+40*2+100</f>
        <v>349</v>
      </c>
      <c r="N3" s="10">
        <v>4</v>
      </c>
      <c r="O3" s="12">
        <v>1</v>
      </c>
      <c r="P3" s="13">
        <f>L3*M3*N3*1.06/1000000/G3</f>
        <v>1.4575636000000001</v>
      </c>
      <c r="Q3" s="14">
        <v>243</v>
      </c>
      <c r="R3" s="14">
        <f>P3*Q3</f>
        <v>354.1879548</v>
      </c>
      <c r="S3" s="15">
        <v>0.46200000000000002</v>
      </c>
      <c r="T3" s="16">
        <f>P3-S3</f>
        <v>0.9955636000000001</v>
      </c>
      <c r="U3" s="14">
        <f>T3*0.9</f>
        <v>0.89600724000000009</v>
      </c>
      <c r="V3" s="17">
        <f>[1]RM_database!$F$40</f>
        <v>35</v>
      </c>
      <c r="W3" s="18">
        <f>U3*V3</f>
        <v>31.360253400000005</v>
      </c>
      <c r="X3" s="14">
        <f>R3-W3</f>
        <v>322.82770140000002</v>
      </c>
      <c r="Y3" s="19">
        <v>3000</v>
      </c>
      <c r="Z3" s="20">
        <v>10</v>
      </c>
      <c r="AA3" s="14">
        <f>G3</f>
        <v>1</v>
      </c>
      <c r="AB3" s="19">
        <f>IFERROR((60/Z3)*6.66*AA3,"")</f>
        <v>39.96</v>
      </c>
      <c r="AC3" s="14">
        <f>IFERROR(Y3/AB3,"")</f>
        <v>75.075075075075077</v>
      </c>
      <c r="AD3" s="14">
        <v>4250</v>
      </c>
      <c r="AE3" s="14">
        <f>VLOOKUP(C3,'[1]CNC Trimming Cycle time'!C:R,16,0)</f>
        <v>25.012831606290963</v>
      </c>
      <c r="AF3" s="14">
        <f>IFERROR(AC3+AE3,"")</f>
        <v>100.08790668136604</v>
      </c>
      <c r="AG3" s="14">
        <f>IFERROR(X3+AF3,"")</f>
        <v>422.91560808136603</v>
      </c>
      <c r="AH3" s="14">
        <f>X3*[1]Consideration!$C$18</f>
        <v>7.2636232815000001</v>
      </c>
      <c r="AI3" s="14">
        <f>X3*[1]Consideration!$C$17</f>
        <v>3.2282770140000001</v>
      </c>
      <c r="AJ3" s="14">
        <f>IFERROR(AF3*[1]Consideration!$C$19,"")</f>
        <v>8.0070325345092836</v>
      </c>
      <c r="AK3" s="14">
        <f>IFERROR(AG3*[1]Consideration!$C$20,"")</f>
        <v>29.604092565695623</v>
      </c>
      <c r="AL3" s="14">
        <f>SUM(AG3:AK3)</f>
        <v>471.01863347707092</v>
      </c>
      <c r="AM3" s="20"/>
      <c r="AN3" s="20"/>
      <c r="AO3" s="21"/>
    </row>
    <row r="4" spans="1:42" s="5" customFormat="1" ht="15.75" x14ac:dyDescent="0.25">
      <c r="A4" s="6" t="s">
        <v>37</v>
      </c>
      <c r="B4" s="7">
        <v>3</v>
      </c>
      <c r="C4" s="7" t="s">
        <v>41</v>
      </c>
      <c r="D4" s="7" t="s">
        <v>42</v>
      </c>
      <c r="E4" s="6" t="s">
        <v>43</v>
      </c>
      <c r="F4" s="8">
        <v>1</v>
      </c>
      <c r="G4" s="8">
        <v>1</v>
      </c>
      <c r="H4" s="9">
        <v>767</v>
      </c>
      <c r="I4" s="10">
        <v>112</v>
      </c>
      <c r="J4" s="10">
        <v>60</v>
      </c>
      <c r="K4" s="11">
        <v>3</v>
      </c>
      <c r="L4" s="11">
        <f t="shared" si="0"/>
        <v>947</v>
      </c>
      <c r="M4" s="11">
        <f>I4+J4+40*2+100</f>
        <v>352</v>
      </c>
      <c r="N4" s="10">
        <v>4</v>
      </c>
      <c r="O4" s="12">
        <v>1</v>
      </c>
      <c r="P4" s="13">
        <f t="shared" ref="P4:P50" si="1">L4*M4*N4*1.06/1000000/G4</f>
        <v>1.41337856</v>
      </c>
      <c r="Q4" s="14">
        <v>243</v>
      </c>
      <c r="R4" s="14">
        <f t="shared" ref="R4:R50" si="2">P4*Q4</f>
        <v>343.45099008</v>
      </c>
      <c r="S4" s="15">
        <v>0.4</v>
      </c>
      <c r="T4" s="16">
        <f t="shared" ref="T4:T50" si="3">P4-S4</f>
        <v>1.01337856</v>
      </c>
      <c r="U4" s="14">
        <f t="shared" ref="U4:U50" si="4">T4*0.9</f>
        <v>0.91204070400000004</v>
      </c>
      <c r="V4" s="17">
        <f>[1]RM_database!$F$40</f>
        <v>35</v>
      </c>
      <c r="W4" s="18">
        <f t="shared" ref="W4:W50" si="5">U4*V4</f>
        <v>31.921424640000001</v>
      </c>
      <c r="X4" s="14">
        <f t="shared" ref="X4:X50" si="6">R4-W4</f>
        <v>311.52956544</v>
      </c>
      <c r="Y4" s="19">
        <v>3000</v>
      </c>
      <c r="Z4" s="20">
        <v>10</v>
      </c>
      <c r="AA4" s="14">
        <f t="shared" ref="AA4:AA50" si="7">G4</f>
        <v>1</v>
      </c>
      <c r="AB4" s="19">
        <f t="shared" ref="AB4:AB50" si="8">IFERROR((60/Z4)*6.66*AA4,"")</f>
        <v>39.96</v>
      </c>
      <c r="AC4" s="14">
        <f t="shared" ref="AC4:AC50" si="9">IFERROR(Y4/AB4,"")</f>
        <v>75.075075075075077</v>
      </c>
      <c r="AD4" s="14">
        <v>4250</v>
      </c>
      <c r="AE4" s="14">
        <f>VLOOKUP(C4,'[1]CNC Trimming Cycle time'!C:R,16,0)</f>
        <v>24.70039575105109</v>
      </c>
      <c r="AF4" s="14">
        <f t="shared" ref="AF4:AF50" si="10">IFERROR(AC4+AE4,"")</f>
        <v>99.775470826126167</v>
      </c>
      <c r="AG4" s="14">
        <f t="shared" ref="AG4:AG50" si="11">IFERROR(X4+AF4,"")</f>
        <v>411.30503626612619</v>
      </c>
      <c r="AH4" s="14">
        <f>X4*[1]Consideration!$C$18</f>
        <v>7.0094152223999995</v>
      </c>
      <c r="AI4" s="14">
        <f>X4*[1]Consideration!$C$17</f>
        <v>3.1152956544000001</v>
      </c>
      <c r="AJ4" s="14">
        <f>IFERROR(AF4*[1]Consideration!$C$19,"")</f>
        <v>7.9820376660900934</v>
      </c>
      <c r="AK4" s="14">
        <f>IFERROR(AG4*[1]Consideration!$C$20,"")</f>
        <v>28.791352538628836</v>
      </c>
      <c r="AL4" s="14">
        <f t="shared" ref="AL4:AL50" si="12">SUM(AG4:AK4)</f>
        <v>458.20313734764505</v>
      </c>
      <c r="AM4" s="20"/>
      <c r="AN4" s="20"/>
      <c r="AO4" s="21"/>
    </row>
    <row r="5" spans="1:42" s="5" customFormat="1" ht="15.75" x14ac:dyDescent="0.25">
      <c r="A5" s="6" t="s">
        <v>44</v>
      </c>
      <c r="B5" s="7">
        <v>3</v>
      </c>
      <c r="C5" s="7" t="s">
        <v>45</v>
      </c>
      <c r="D5" s="7" t="s">
        <v>42</v>
      </c>
      <c r="E5" s="6" t="s">
        <v>46</v>
      </c>
      <c r="F5" s="7">
        <v>1</v>
      </c>
      <c r="G5" s="8">
        <v>1</v>
      </c>
      <c r="H5" s="9">
        <v>1338</v>
      </c>
      <c r="I5" s="10">
        <v>686</v>
      </c>
      <c r="J5" s="10">
        <v>80</v>
      </c>
      <c r="K5" s="11">
        <v>3</v>
      </c>
      <c r="L5" s="11">
        <f t="shared" si="0"/>
        <v>1518</v>
      </c>
      <c r="M5" s="11">
        <f t="shared" ref="M5:M14" si="13">+I5+40*2+J5+100</f>
        <v>946</v>
      </c>
      <c r="N5" s="10">
        <v>4</v>
      </c>
      <c r="O5" s="12">
        <v>1</v>
      </c>
      <c r="P5" s="13">
        <f t="shared" si="1"/>
        <v>6.0887587200000004</v>
      </c>
      <c r="Q5" s="14">
        <v>243</v>
      </c>
      <c r="R5" s="14">
        <f t="shared" si="2"/>
        <v>1479.56836896</v>
      </c>
      <c r="S5" s="15">
        <v>3</v>
      </c>
      <c r="T5" s="16">
        <f t="shared" si="3"/>
        <v>3.0887587200000004</v>
      </c>
      <c r="U5" s="14">
        <f t="shared" si="4"/>
        <v>2.7798828480000006</v>
      </c>
      <c r="V5" s="17">
        <f>[1]RM_database!$F$40</f>
        <v>35</v>
      </c>
      <c r="W5" s="18">
        <f t="shared" si="5"/>
        <v>97.295899680000019</v>
      </c>
      <c r="X5" s="14">
        <f t="shared" si="6"/>
        <v>1382.27246928</v>
      </c>
      <c r="Y5" s="19">
        <v>3000</v>
      </c>
      <c r="Z5" s="20">
        <v>10</v>
      </c>
      <c r="AA5" s="14">
        <f t="shared" si="7"/>
        <v>1</v>
      </c>
      <c r="AB5" s="19">
        <f t="shared" si="8"/>
        <v>39.96</v>
      </c>
      <c r="AC5" s="14">
        <f t="shared" si="9"/>
        <v>75.075075075075077</v>
      </c>
      <c r="AD5" s="14">
        <v>4250</v>
      </c>
      <c r="AE5" s="14">
        <f>VLOOKUP(C5,'[1]CNC Trimming Cycle time'!C:R,16,0)</f>
        <v>37.042270069789495</v>
      </c>
      <c r="AF5" s="14">
        <f t="shared" si="10"/>
        <v>112.11734514486457</v>
      </c>
      <c r="AG5" s="14">
        <f t="shared" si="11"/>
        <v>1494.3898144248647</v>
      </c>
      <c r="AH5" s="14">
        <f>X5*[1]Consideration!$C$18</f>
        <v>31.101130558799998</v>
      </c>
      <c r="AI5" s="14">
        <f>X5*[1]Consideration!$C$17</f>
        <v>13.8227246928</v>
      </c>
      <c r="AJ5" s="14">
        <f>IFERROR(AF5*[1]Consideration!$C$19,"")</f>
        <v>8.9693876115891662</v>
      </c>
      <c r="AK5" s="14">
        <f>IFERROR(AG5*[1]Consideration!$C$20,"")</f>
        <v>104.60728700974053</v>
      </c>
      <c r="AL5" s="14">
        <f t="shared" si="12"/>
        <v>1652.8903442977942</v>
      </c>
      <c r="AM5" s="20"/>
      <c r="AN5" s="20"/>
      <c r="AO5" s="21"/>
    </row>
    <row r="6" spans="1:42" s="5" customFormat="1" ht="15.75" x14ac:dyDescent="0.25">
      <c r="A6" s="6" t="s">
        <v>47</v>
      </c>
      <c r="B6" s="7">
        <v>3</v>
      </c>
      <c r="C6" s="7" t="s">
        <v>48</v>
      </c>
      <c r="D6" s="7" t="s">
        <v>42</v>
      </c>
      <c r="E6" s="6" t="s">
        <v>49</v>
      </c>
      <c r="F6" s="7">
        <v>1</v>
      </c>
      <c r="G6" s="8">
        <v>1</v>
      </c>
      <c r="H6" s="9">
        <f>1180+186</f>
        <v>1366</v>
      </c>
      <c r="I6" s="10">
        <v>753</v>
      </c>
      <c r="J6" s="10">
        <v>48</v>
      </c>
      <c r="K6" s="11">
        <v>3</v>
      </c>
      <c r="L6" s="11">
        <f t="shared" si="0"/>
        <v>1546</v>
      </c>
      <c r="M6" s="11">
        <f t="shared" si="13"/>
        <v>981</v>
      </c>
      <c r="N6" s="10">
        <v>4</v>
      </c>
      <c r="O6" s="12">
        <v>1</v>
      </c>
      <c r="P6" s="13">
        <f t="shared" si="1"/>
        <v>6.4304942399999998</v>
      </c>
      <c r="Q6" s="14">
        <v>243</v>
      </c>
      <c r="R6" s="14">
        <f t="shared" si="2"/>
        <v>1562.6101003199999</v>
      </c>
      <c r="S6" s="15">
        <v>2.4</v>
      </c>
      <c r="T6" s="16">
        <f t="shared" si="3"/>
        <v>4.0304942399999995</v>
      </c>
      <c r="U6" s="14">
        <f t="shared" si="4"/>
        <v>3.6274448159999997</v>
      </c>
      <c r="V6" s="17">
        <f>[1]RM_database!$F$40</f>
        <v>35</v>
      </c>
      <c r="W6" s="18">
        <f t="shared" si="5"/>
        <v>126.96056855999998</v>
      </c>
      <c r="X6" s="14">
        <f t="shared" si="6"/>
        <v>1435.6495317599999</v>
      </c>
      <c r="Y6" s="19">
        <v>3000</v>
      </c>
      <c r="Z6" s="20">
        <v>10</v>
      </c>
      <c r="AA6" s="14">
        <f t="shared" si="7"/>
        <v>1</v>
      </c>
      <c r="AB6" s="19">
        <f t="shared" si="8"/>
        <v>39.96</v>
      </c>
      <c r="AC6" s="14">
        <f t="shared" si="9"/>
        <v>75.075075075075077</v>
      </c>
      <c r="AD6" s="14">
        <v>4250</v>
      </c>
      <c r="AE6" s="14">
        <f>VLOOKUP(C6,'[1]CNC Trimming Cycle time'!C:R,16,0)</f>
        <v>46.373344180433456</v>
      </c>
      <c r="AF6" s="14">
        <f t="shared" si="10"/>
        <v>121.44841925550853</v>
      </c>
      <c r="AG6" s="14">
        <f t="shared" si="11"/>
        <v>1557.0979510155084</v>
      </c>
      <c r="AH6" s="14">
        <f>X6*[1]Consideration!$C$18</f>
        <v>32.302114464599995</v>
      </c>
      <c r="AI6" s="14">
        <f>X6*[1]Consideration!$C$17</f>
        <v>14.3564953176</v>
      </c>
      <c r="AJ6" s="14">
        <f>IFERROR(AF6*[1]Consideration!$C$19,"")</f>
        <v>9.7158735404406826</v>
      </c>
      <c r="AK6" s="14">
        <f>IFERROR(AG6*[1]Consideration!$C$20,"")</f>
        <v>108.9968565710856</v>
      </c>
      <c r="AL6" s="14">
        <f t="shared" si="12"/>
        <v>1722.4692909092348</v>
      </c>
      <c r="AM6" s="20"/>
      <c r="AN6" s="20"/>
      <c r="AO6" s="21"/>
    </row>
    <row r="7" spans="1:42" s="5" customFormat="1" ht="15.75" x14ac:dyDescent="0.25">
      <c r="A7" s="6" t="s">
        <v>44</v>
      </c>
      <c r="B7" s="7">
        <v>3</v>
      </c>
      <c r="C7" s="7" t="s">
        <v>50</v>
      </c>
      <c r="D7" s="7" t="s">
        <v>42</v>
      </c>
      <c r="E7" s="6" t="s">
        <v>51</v>
      </c>
      <c r="F7" s="7">
        <v>1</v>
      </c>
      <c r="G7" s="8">
        <v>1</v>
      </c>
      <c r="H7" s="9">
        <v>1338</v>
      </c>
      <c r="I7" s="10">
        <v>686</v>
      </c>
      <c r="J7" s="10">
        <v>80</v>
      </c>
      <c r="K7" s="11">
        <v>3</v>
      </c>
      <c r="L7" s="11">
        <f t="shared" si="0"/>
        <v>1518</v>
      </c>
      <c r="M7" s="11">
        <f t="shared" si="13"/>
        <v>946</v>
      </c>
      <c r="N7" s="10">
        <v>4</v>
      </c>
      <c r="O7" s="12">
        <v>1</v>
      </c>
      <c r="P7" s="13">
        <f t="shared" si="1"/>
        <v>6.0887587200000004</v>
      </c>
      <c r="Q7" s="14">
        <v>243</v>
      </c>
      <c r="R7" s="14">
        <f t="shared" si="2"/>
        <v>1479.56836896</v>
      </c>
      <c r="S7" s="15">
        <v>3</v>
      </c>
      <c r="T7" s="16">
        <f t="shared" si="3"/>
        <v>3.0887587200000004</v>
      </c>
      <c r="U7" s="14">
        <f t="shared" si="4"/>
        <v>2.7798828480000006</v>
      </c>
      <c r="V7" s="17">
        <f>[1]RM_database!$F$40</f>
        <v>35</v>
      </c>
      <c r="W7" s="18">
        <f t="shared" si="5"/>
        <v>97.295899680000019</v>
      </c>
      <c r="X7" s="14">
        <f t="shared" si="6"/>
        <v>1382.27246928</v>
      </c>
      <c r="Y7" s="19">
        <v>3000</v>
      </c>
      <c r="Z7" s="20">
        <v>10</v>
      </c>
      <c r="AA7" s="14">
        <f t="shared" si="7"/>
        <v>1</v>
      </c>
      <c r="AB7" s="19">
        <f t="shared" si="8"/>
        <v>39.96</v>
      </c>
      <c r="AC7" s="14">
        <f t="shared" si="9"/>
        <v>75.075075075075077</v>
      </c>
      <c r="AD7" s="14">
        <v>4250</v>
      </c>
      <c r="AE7" s="14">
        <f>VLOOKUP(C7,'[1]CNC Trimming Cycle time'!C:R,16,0)</f>
        <v>37.042270069789495</v>
      </c>
      <c r="AF7" s="14">
        <f t="shared" si="10"/>
        <v>112.11734514486457</v>
      </c>
      <c r="AG7" s="14">
        <f t="shared" si="11"/>
        <v>1494.3898144248647</v>
      </c>
      <c r="AH7" s="14">
        <f>X7*[1]Consideration!$C$18</f>
        <v>31.101130558799998</v>
      </c>
      <c r="AI7" s="14">
        <f>X7*[1]Consideration!$C$17</f>
        <v>13.8227246928</v>
      </c>
      <c r="AJ7" s="14">
        <f>IFERROR(AF7*[1]Consideration!$C$19,"")</f>
        <v>8.9693876115891662</v>
      </c>
      <c r="AK7" s="14">
        <f>IFERROR(AG7*[1]Consideration!$C$20,"")</f>
        <v>104.60728700974053</v>
      </c>
      <c r="AL7" s="14">
        <f t="shared" si="12"/>
        <v>1652.8903442977942</v>
      </c>
      <c r="AM7" s="20"/>
      <c r="AN7" s="20"/>
      <c r="AO7" s="21"/>
    </row>
    <row r="8" spans="1:42" s="5" customFormat="1" ht="15.75" x14ac:dyDescent="0.25">
      <c r="A8" s="6" t="s">
        <v>44</v>
      </c>
      <c r="B8" s="7">
        <v>3</v>
      </c>
      <c r="C8" s="7" t="s">
        <v>52</v>
      </c>
      <c r="D8" s="7" t="s">
        <v>42</v>
      </c>
      <c r="E8" s="6" t="s">
        <v>53</v>
      </c>
      <c r="F8" s="7">
        <v>1</v>
      </c>
      <c r="G8" s="8">
        <v>1</v>
      </c>
      <c r="H8" s="9">
        <v>1338</v>
      </c>
      <c r="I8" s="10">
        <v>686</v>
      </c>
      <c r="J8" s="10">
        <v>80</v>
      </c>
      <c r="K8" s="11">
        <v>3</v>
      </c>
      <c r="L8" s="11">
        <f t="shared" si="0"/>
        <v>1518</v>
      </c>
      <c r="M8" s="11">
        <f t="shared" si="13"/>
        <v>946</v>
      </c>
      <c r="N8" s="10">
        <v>4</v>
      </c>
      <c r="O8" s="12">
        <v>1</v>
      </c>
      <c r="P8" s="13">
        <f t="shared" si="1"/>
        <v>6.0887587200000004</v>
      </c>
      <c r="Q8" s="14">
        <v>243</v>
      </c>
      <c r="R8" s="14">
        <f t="shared" si="2"/>
        <v>1479.56836896</v>
      </c>
      <c r="S8" s="15">
        <v>2.8220000000000001</v>
      </c>
      <c r="T8" s="16">
        <f t="shared" si="3"/>
        <v>3.2667587200000003</v>
      </c>
      <c r="U8" s="14">
        <f t="shared" si="4"/>
        <v>2.9400828480000003</v>
      </c>
      <c r="V8" s="17">
        <f>[1]RM_database!$F$40</f>
        <v>35</v>
      </c>
      <c r="W8" s="18">
        <f t="shared" si="5"/>
        <v>102.90289968</v>
      </c>
      <c r="X8" s="14">
        <f t="shared" si="6"/>
        <v>1376.66546928</v>
      </c>
      <c r="Y8" s="19">
        <v>3000</v>
      </c>
      <c r="Z8" s="20">
        <v>10</v>
      </c>
      <c r="AA8" s="14">
        <f t="shared" si="7"/>
        <v>1</v>
      </c>
      <c r="AB8" s="19">
        <f t="shared" si="8"/>
        <v>39.96</v>
      </c>
      <c r="AC8" s="14">
        <f t="shared" si="9"/>
        <v>75.075075075075077</v>
      </c>
      <c r="AD8" s="14">
        <v>4250</v>
      </c>
      <c r="AE8" s="14">
        <f>VLOOKUP(C8,'[1]CNC Trimming Cycle time'!C:R,16,0)</f>
        <v>38.456109058478788</v>
      </c>
      <c r="AF8" s="14">
        <f t="shared" si="10"/>
        <v>113.53118413355386</v>
      </c>
      <c r="AG8" s="14">
        <f t="shared" si="11"/>
        <v>1490.1966534135538</v>
      </c>
      <c r="AH8" s="14">
        <f>X8*[1]Consideration!$C$18</f>
        <v>30.9749730588</v>
      </c>
      <c r="AI8" s="14">
        <f>X8*[1]Consideration!$C$17</f>
        <v>13.766654692800001</v>
      </c>
      <c r="AJ8" s="14">
        <f>IFERROR(AF8*[1]Consideration!$C$19,"")</f>
        <v>9.08249473068431</v>
      </c>
      <c r="AK8" s="14">
        <f>IFERROR(AG8*[1]Consideration!$C$20,"")</f>
        <v>104.31376573894877</v>
      </c>
      <c r="AL8" s="14">
        <f t="shared" si="12"/>
        <v>1648.3345416347872</v>
      </c>
      <c r="AM8" s="20"/>
      <c r="AN8" s="20"/>
      <c r="AO8" s="21"/>
    </row>
    <row r="9" spans="1:42" s="5" customFormat="1" ht="15.75" x14ac:dyDescent="0.25">
      <c r="A9" s="6" t="s">
        <v>44</v>
      </c>
      <c r="B9" s="7">
        <v>3</v>
      </c>
      <c r="C9" s="7" t="s">
        <v>54</v>
      </c>
      <c r="D9" s="7" t="s">
        <v>42</v>
      </c>
      <c r="E9" s="6" t="s">
        <v>55</v>
      </c>
      <c r="F9" s="7">
        <v>1</v>
      </c>
      <c r="G9" s="8">
        <v>1</v>
      </c>
      <c r="H9" s="9">
        <v>1356</v>
      </c>
      <c r="I9" s="10">
        <v>686</v>
      </c>
      <c r="J9" s="10">
        <v>80</v>
      </c>
      <c r="K9" s="11">
        <v>3</v>
      </c>
      <c r="L9" s="11">
        <f t="shared" si="0"/>
        <v>1536</v>
      </c>
      <c r="M9" s="11">
        <f t="shared" si="13"/>
        <v>946</v>
      </c>
      <c r="N9" s="10">
        <v>4</v>
      </c>
      <c r="O9" s="12">
        <v>1</v>
      </c>
      <c r="P9" s="13">
        <f>L9*M9*N9*1.06/1000000/G9</f>
        <v>6.1609574400000007</v>
      </c>
      <c r="Q9" s="14">
        <v>243</v>
      </c>
      <c r="R9" s="14">
        <f>P9*Q9</f>
        <v>1497.1126579200002</v>
      </c>
      <c r="S9" s="22">
        <v>3</v>
      </c>
      <c r="T9" s="16">
        <f>P9-S9</f>
        <v>3.1609574400000007</v>
      </c>
      <c r="U9" s="14">
        <f>T9*0.9</f>
        <v>2.8448616960000006</v>
      </c>
      <c r="V9" s="17">
        <f>[1]RM_database!$F$40</f>
        <v>35</v>
      </c>
      <c r="W9" s="18">
        <f>U9*V9</f>
        <v>99.570159360000019</v>
      </c>
      <c r="X9" s="14">
        <f>R9-W9</f>
        <v>1397.5424985600002</v>
      </c>
      <c r="Y9" s="19">
        <v>3000</v>
      </c>
      <c r="Z9" s="20">
        <v>10</v>
      </c>
      <c r="AA9" s="14">
        <f>G9</f>
        <v>1</v>
      </c>
      <c r="AB9" s="19">
        <f>IFERROR((60/Z9)*6.66*AA9,"")</f>
        <v>39.96</v>
      </c>
      <c r="AC9" s="14">
        <f>IFERROR(Y9/AB9,"")</f>
        <v>75.075075075075077</v>
      </c>
      <c r="AD9" s="14">
        <v>4250</v>
      </c>
      <c r="AE9" s="14">
        <f>VLOOKUP(C9,'[1]CNC Trimming Cycle time'!C:R,16,0)</f>
        <v>37.909870861114655</v>
      </c>
      <c r="AF9" s="14">
        <f>IFERROR(AC9+AE9,"")</f>
        <v>112.98494593618973</v>
      </c>
      <c r="AG9" s="14">
        <f>IFERROR(X9+AF9,"")</f>
        <v>1510.5274444961899</v>
      </c>
      <c r="AH9" s="14">
        <f>X9*[1]Consideration!$C$18</f>
        <v>31.444706217600004</v>
      </c>
      <c r="AI9" s="14">
        <f>X9*[1]Consideration!$C$17</f>
        <v>13.975424985600002</v>
      </c>
      <c r="AJ9" s="14">
        <f>IFERROR(AF9*[1]Consideration!$C$19,"")</f>
        <v>9.0387956748951783</v>
      </c>
      <c r="AK9" s="14">
        <f>IFERROR(AG9*[1]Consideration!$C$20,"")</f>
        <v>105.73692111473331</v>
      </c>
      <c r="AL9" s="14">
        <f>SUM(AG9:AK9)</f>
        <v>1670.7232924890186</v>
      </c>
      <c r="AM9" s="20"/>
      <c r="AN9" s="20"/>
      <c r="AO9" s="21"/>
    </row>
    <row r="10" spans="1:42" s="5" customFormat="1" ht="15.75" x14ac:dyDescent="0.25">
      <c r="A10" s="6" t="s">
        <v>44</v>
      </c>
      <c r="B10" s="7">
        <v>3</v>
      </c>
      <c r="C10" s="7" t="s">
        <v>56</v>
      </c>
      <c r="D10" s="7" t="s">
        <v>42</v>
      </c>
      <c r="E10" s="6" t="s">
        <v>57</v>
      </c>
      <c r="F10" s="7">
        <v>1</v>
      </c>
      <c r="G10" s="8">
        <v>1</v>
      </c>
      <c r="H10" s="9">
        <v>1338</v>
      </c>
      <c r="I10" s="10">
        <v>686</v>
      </c>
      <c r="J10" s="10">
        <v>80</v>
      </c>
      <c r="K10" s="11">
        <v>3</v>
      </c>
      <c r="L10" s="11">
        <f t="shared" si="0"/>
        <v>1518</v>
      </c>
      <c r="M10" s="11">
        <f t="shared" si="13"/>
        <v>946</v>
      </c>
      <c r="N10" s="10">
        <v>4</v>
      </c>
      <c r="O10" s="12">
        <v>1</v>
      </c>
      <c r="P10" s="13">
        <f t="shared" si="1"/>
        <v>6.0887587200000004</v>
      </c>
      <c r="Q10" s="14">
        <v>243</v>
      </c>
      <c r="R10" s="14">
        <f t="shared" si="2"/>
        <v>1479.56836896</v>
      </c>
      <c r="S10" s="22">
        <v>2.7869999999999999</v>
      </c>
      <c r="T10" s="16">
        <f t="shared" si="3"/>
        <v>3.3017587200000005</v>
      </c>
      <c r="U10" s="14">
        <f t="shared" si="4"/>
        <v>2.9715828480000006</v>
      </c>
      <c r="V10" s="17">
        <f>[1]RM_database!$F$40</f>
        <v>35</v>
      </c>
      <c r="W10" s="18">
        <f t="shared" si="5"/>
        <v>104.00539968000002</v>
      </c>
      <c r="X10" s="14">
        <f t="shared" si="6"/>
        <v>1375.5629692800001</v>
      </c>
      <c r="Y10" s="19">
        <v>3000</v>
      </c>
      <c r="Z10" s="20">
        <v>10</v>
      </c>
      <c r="AA10" s="14">
        <f t="shared" si="7"/>
        <v>1</v>
      </c>
      <c r="AB10" s="19">
        <f t="shared" si="8"/>
        <v>39.96</v>
      </c>
      <c r="AC10" s="14">
        <f t="shared" si="9"/>
        <v>75.075075075075077</v>
      </c>
      <c r="AD10" s="14">
        <v>4250</v>
      </c>
      <c r="AE10" s="14">
        <f>VLOOKUP(C10,'[1]CNC Trimming Cycle time'!C:R,16,0)</f>
        <v>37.749189564134142</v>
      </c>
      <c r="AF10" s="14">
        <f t="shared" si="10"/>
        <v>112.82426463920922</v>
      </c>
      <c r="AG10" s="14">
        <f t="shared" si="11"/>
        <v>1488.3872339192094</v>
      </c>
      <c r="AH10" s="14">
        <f>X10*[1]Consideration!$C$18</f>
        <v>30.950166808799999</v>
      </c>
      <c r="AI10" s="14">
        <f>X10*[1]Consideration!$C$17</f>
        <v>13.755629692800001</v>
      </c>
      <c r="AJ10" s="14">
        <f>IFERROR(AF10*[1]Consideration!$C$19,"")</f>
        <v>9.0259411711367381</v>
      </c>
      <c r="AK10" s="14">
        <f>IFERROR(AG10*[1]Consideration!$C$20,"")</f>
        <v>104.18710637434467</v>
      </c>
      <c r="AL10" s="14">
        <f t="shared" si="12"/>
        <v>1646.306077966291</v>
      </c>
      <c r="AM10" s="20"/>
      <c r="AN10" s="20"/>
      <c r="AO10" s="21"/>
    </row>
    <row r="11" spans="1:42" s="5" customFormat="1" ht="15.75" x14ac:dyDescent="0.25">
      <c r="A11" s="6" t="s">
        <v>44</v>
      </c>
      <c r="B11" s="7">
        <v>3</v>
      </c>
      <c r="C11" s="7" t="s">
        <v>58</v>
      </c>
      <c r="D11" s="7" t="s">
        <v>42</v>
      </c>
      <c r="E11" s="6" t="s">
        <v>59</v>
      </c>
      <c r="F11" s="7">
        <v>1</v>
      </c>
      <c r="G11" s="8">
        <v>1</v>
      </c>
      <c r="H11" s="9">
        <v>1124</v>
      </c>
      <c r="I11" s="10">
        <v>686</v>
      </c>
      <c r="J11" s="10">
        <v>80</v>
      </c>
      <c r="K11" s="11">
        <v>3</v>
      </c>
      <c r="L11" s="11">
        <f t="shared" si="0"/>
        <v>1304</v>
      </c>
      <c r="M11" s="11">
        <f t="shared" si="13"/>
        <v>946</v>
      </c>
      <c r="N11" s="10">
        <v>4</v>
      </c>
      <c r="O11" s="12">
        <v>1</v>
      </c>
      <c r="P11" s="13">
        <f t="shared" si="1"/>
        <v>5.2303961599999997</v>
      </c>
      <c r="Q11" s="14">
        <v>243</v>
      </c>
      <c r="R11" s="14">
        <f t="shared" si="2"/>
        <v>1270.9862668799999</v>
      </c>
      <c r="S11" s="22">
        <v>2.4489999999999998</v>
      </c>
      <c r="T11" s="16">
        <f t="shared" si="3"/>
        <v>2.7813961599999999</v>
      </c>
      <c r="U11" s="14">
        <f t="shared" si="4"/>
        <v>2.5032565440000001</v>
      </c>
      <c r="V11" s="17">
        <f>[1]RM_database!$F$40</f>
        <v>35</v>
      </c>
      <c r="W11" s="18">
        <f t="shared" si="5"/>
        <v>87.613979040000004</v>
      </c>
      <c r="X11" s="14">
        <f t="shared" si="6"/>
        <v>1183.3722878399999</v>
      </c>
      <c r="Y11" s="19">
        <v>3000</v>
      </c>
      <c r="Z11" s="20">
        <v>10</v>
      </c>
      <c r="AA11" s="14">
        <f t="shared" si="7"/>
        <v>1</v>
      </c>
      <c r="AB11" s="19">
        <f t="shared" si="8"/>
        <v>39.96</v>
      </c>
      <c r="AC11" s="14">
        <f t="shared" si="9"/>
        <v>75.075075075075077</v>
      </c>
      <c r="AD11" s="14">
        <v>4250</v>
      </c>
      <c r="AE11" s="14">
        <f>VLOOKUP(C11,'[1]CNC Trimming Cycle time'!C:R,16,0)</f>
        <v>34.425028489121047</v>
      </c>
      <c r="AF11" s="14">
        <f t="shared" si="10"/>
        <v>109.50010356419612</v>
      </c>
      <c r="AG11" s="14">
        <f t="shared" si="11"/>
        <v>1292.8723914041959</v>
      </c>
      <c r="AH11" s="14">
        <f>X11*[1]Consideration!$C$18</f>
        <v>26.625876476399998</v>
      </c>
      <c r="AI11" s="14">
        <f>X11*[1]Consideration!$C$17</f>
        <v>11.8337228784</v>
      </c>
      <c r="AJ11" s="14">
        <f>IFERROR(AF11*[1]Consideration!$C$19,"")</f>
        <v>8.7600082851356902</v>
      </c>
      <c r="AK11" s="14">
        <f>IFERROR(AG11*[1]Consideration!$C$20,"")</f>
        <v>90.501067398293728</v>
      </c>
      <c r="AL11" s="14">
        <f t="shared" si="12"/>
        <v>1430.5930664424254</v>
      </c>
      <c r="AM11" s="20"/>
      <c r="AN11" s="20"/>
      <c r="AO11" s="21"/>
    </row>
    <row r="12" spans="1:42" s="5" customFormat="1" ht="15.75" x14ac:dyDescent="0.25">
      <c r="A12" s="6" t="s">
        <v>44</v>
      </c>
      <c r="B12" s="7">
        <v>3</v>
      </c>
      <c r="C12" s="7" t="s">
        <v>60</v>
      </c>
      <c r="D12" s="7" t="s">
        <v>42</v>
      </c>
      <c r="E12" s="6" t="s">
        <v>61</v>
      </c>
      <c r="F12" s="7">
        <v>1</v>
      </c>
      <c r="G12" s="8">
        <v>1</v>
      </c>
      <c r="H12" s="9">
        <v>1139</v>
      </c>
      <c r="I12" s="10">
        <v>686</v>
      </c>
      <c r="J12" s="10">
        <v>80</v>
      </c>
      <c r="K12" s="11">
        <v>3</v>
      </c>
      <c r="L12" s="11">
        <f t="shared" si="0"/>
        <v>1319</v>
      </c>
      <c r="M12" s="11">
        <f t="shared" si="13"/>
        <v>946</v>
      </c>
      <c r="N12" s="10">
        <v>4</v>
      </c>
      <c r="O12" s="12">
        <v>1</v>
      </c>
      <c r="P12" s="13">
        <f t="shared" si="1"/>
        <v>5.290561760000001</v>
      </c>
      <c r="Q12" s="14">
        <v>243</v>
      </c>
      <c r="R12" s="14">
        <f t="shared" si="2"/>
        <v>1285.6065076800003</v>
      </c>
      <c r="S12" s="22">
        <v>2.456</v>
      </c>
      <c r="T12" s="16">
        <f t="shared" si="3"/>
        <v>2.834561760000001</v>
      </c>
      <c r="U12" s="14">
        <f t="shared" si="4"/>
        <v>2.551105584000001</v>
      </c>
      <c r="V12" s="17">
        <f>[1]RM_database!$F$40</f>
        <v>35</v>
      </c>
      <c r="W12" s="18">
        <f t="shared" si="5"/>
        <v>89.288695440000041</v>
      </c>
      <c r="X12" s="14">
        <f t="shared" si="6"/>
        <v>1196.3178122400002</v>
      </c>
      <c r="Y12" s="19">
        <v>3000</v>
      </c>
      <c r="Z12" s="20">
        <v>10</v>
      </c>
      <c r="AA12" s="14">
        <f t="shared" si="7"/>
        <v>1</v>
      </c>
      <c r="AB12" s="19">
        <f t="shared" si="8"/>
        <v>39.96</v>
      </c>
      <c r="AC12" s="14">
        <f t="shared" si="9"/>
        <v>75.075075075075077</v>
      </c>
      <c r="AD12" s="14">
        <v>4250</v>
      </c>
      <c r="AE12" s="14">
        <f>VLOOKUP(C12,'[1]CNC Trimming Cycle time'!C:R,16,0)</f>
        <v>35.265849064282783</v>
      </c>
      <c r="AF12" s="14">
        <f t="shared" si="10"/>
        <v>110.34092413935787</v>
      </c>
      <c r="AG12" s="14">
        <f t="shared" si="11"/>
        <v>1306.6587363793581</v>
      </c>
      <c r="AH12" s="14">
        <f>X12*[1]Consideration!$C$18</f>
        <v>26.917150775400003</v>
      </c>
      <c r="AI12" s="14">
        <f>X12*[1]Consideration!$C$17</f>
        <v>11.963178122400002</v>
      </c>
      <c r="AJ12" s="14">
        <f>IFERROR(AF12*[1]Consideration!$C$19,"")</f>
        <v>8.8272739311486301</v>
      </c>
      <c r="AK12" s="14">
        <f>IFERROR(AG12*[1]Consideration!$C$20,"")</f>
        <v>91.466111546555069</v>
      </c>
      <c r="AL12" s="14">
        <f t="shared" si="12"/>
        <v>1445.8324507548618</v>
      </c>
      <c r="AM12" s="20"/>
      <c r="AN12" s="20"/>
      <c r="AO12" s="21"/>
    </row>
    <row r="13" spans="1:42" s="5" customFormat="1" ht="15.75" x14ac:dyDescent="0.25">
      <c r="A13" s="6" t="s">
        <v>44</v>
      </c>
      <c r="B13" s="7">
        <v>3</v>
      </c>
      <c r="C13" s="7" t="s">
        <v>62</v>
      </c>
      <c r="D13" s="7" t="s">
        <v>42</v>
      </c>
      <c r="E13" s="6" t="s">
        <v>63</v>
      </c>
      <c r="F13" s="7">
        <v>1</v>
      </c>
      <c r="G13" s="8">
        <v>1</v>
      </c>
      <c r="H13" s="9">
        <v>1356</v>
      </c>
      <c r="I13" s="10">
        <v>686</v>
      </c>
      <c r="J13" s="10">
        <v>80</v>
      </c>
      <c r="K13" s="11">
        <v>3</v>
      </c>
      <c r="L13" s="11">
        <f t="shared" si="0"/>
        <v>1536</v>
      </c>
      <c r="M13" s="11">
        <f t="shared" si="13"/>
        <v>946</v>
      </c>
      <c r="N13" s="10">
        <v>4</v>
      </c>
      <c r="O13" s="12">
        <v>1</v>
      </c>
      <c r="P13" s="13">
        <f t="shared" si="1"/>
        <v>6.1609574400000007</v>
      </c>
      <c r="Q13" s="14">
        <v>243</v>
      </c>
      <c r="R13" s="14">
        <f t="shared" si="2"/>
        <v>1497.1126579200002</v>
      </c>
      <c r="S13" s="22">
        <v>2.8319999999999999</v>
      </c>
      <c r="T13" s="16">
        <f t="shared" si="3"/>
        <v>3.3289574400000008</v>
      </c>
      <c r="U13" s="14">
        <f t="shared" si="4"/>
        <v>2.9960616960000008</v>
      </c>
      <c r="V13" s="17">
        <f>[1]RM_database!$F$40</f>
        <v>35</v>
      </c>
      <c r="W13" s="18">
        <f t="shared" si="5"/>
        <v>104.86215936000004</v>
      </c>
      <c r="X13" s="14">
        <f t="shared" si="6"/>
        <v>1392.2504985600001</v>
      </c>
      <c r="Y13" s="19">
        <v>3000</v>
      </c>
      <c r="Z13" s="20">
        <v>10</v>
      </c>
      <c r="AA13" s="14">
        <f t="shared" si="7"/>
        <v>1</v>
      </c>
      <c r="AB13" s="19">
        <f t="shared" si="8"/>
        <v>39.96</v>
      </c>
      <c r="AC13" s="14">
        <f t="shared" si="9"/>
        <v>75.075075075075077</v>
      </c>
      <c r="AD13" s="14">
        <v>4250</v>
      </c>
      <c r="AE13" s="14">
        <f>VLOOKUP(C13,'[1]CNC Trimming Cycle time'!C:R,16,0)</f>
        <v>37.202951366770009</v>
      </c>
      <c r="AF13" s="14">
        <f t="shared" si="10"/>
        <v>112.27802644184509</v>
      </c>
      <c r="AG13" s="14">
        <f t="shared" si="11"/>
        <v>1504.5285250018451</v>
      </c>
      <c r="AH13" s="14">
        <f>X13*[1]Consideration!$C$18</f>
        <v>31.3256362176</v>
      </c>
      <c r="AI13" s="14">
        <f>X13*[1]Consideration!$C$17</f>
        <v>13.922504985600002</v>
      </c>
      <c r="AJ13" s="14">
        <f>IFERROR(AF13*[1]Consideration!$C$19,"")</f>
        <v>8.9822421153476064</v>
      </c>
      <c r="AK13" s="14">
        <f>IFERROR(AG13*[1]Consideration!$C$20,"")</f>
        <v>105.31699675012916</v>
      </c>
      <c r="AL13" s="14">
        <f t="shared" si="12"/>
        <v>1664.0759050705219</v>
      </c>
      <c r="AM13" s="20"/>
      <c r="AN13" s="20"/>
      <c r="AO13" s="21"/>
    </row>
    <row r="14" spans="1:42" s="5" customFormat="1" ht="25.5" x14ac:dyDescent="0.25">
      <c r="A14" s="6" t="s">
        <v>64</v>
      </c>
      <c r="B14" s="7">
        <v>3</v>
      </c>
      <c r="C14" s="7" t="s">
        <v>65</v>
      </c>
      <c r="D14" s="7" t="s">
        <v>66</v>
      </c>
      <c r="E14" s="6" t="s">
        <v>67</v>
      </c>
      <c r="F14" s="7">
        <v>1</v>
      </c>
      <c r="G14" s="8">
        <v>1</v>
      </c>
      <c r="H14" s="9">
        <v>509</v>
      </c>
      <c r="I14" s="10">
        <v>900</v>
      </c>
      <c r="J14" s="10">
        <v>200</v>
      </c>
      <c r="K14" s="11">
        <v>3</v>
      </c>
      <c r="L14" s="11">
        <f t="shared" si="0"/>
        <v>689</v>
      </c>
      <c r="M14" s="11">
        <f t="shared" si="13"/>
        <v>1280</v>
      </c>
      <c r="N14" s="10">
        <v>4.5</v>
      </c>
      <c r="O14" s="12">
        <v>1</v>
      </c>
      <c r="P14" s="13">
        <f t="shared" si="1"/>
        <v>4.2067584</v>
      </c>
      <c r="Q14" s="14">
        <v>243</v>
      </c>
      <c r="R14" s="14">
        <f t="shared" si="2"/>
        <v>1022.2422912</v>
      </c>
      <c r="S14" s="22">
        <v>2</v>
      </c>
      <c r="T14" s="16">
        <f t="shared" si="3"/>
        <v>2.2067584</v>
      </c>
      <c r="U14" s="14">
        <f t="shared" si="4"/>
        <v>1.9860825600000001</v>
      </c>
      <c r="V14" s="17">
        <f>[1]RM_database!$F$40</f>
        <v>35</v>
      </c>
      <c r="W14" s="18">
        <f t="shared" si="5"/>
        <v>69.512889600000008</v>
      </c>
      <c r="X14" s="14">
        <f t="shared" si="6"/>
        <v>952.72940159999996</v>
      </c>
      <c r="Y14" s="19">
        <v>3000</v>
      </c>
      <c r="Z14" s="20">
        <v>10</v>
      </c>
      <c r="AA14" s="14">
        <f t="shared" si="7"/>
        <v>1</v>
      </c>
      <c r="AB14" s="19">
        <f t="shared" si="8"/>
        <v>39.96</v>
      </c>
      <c r="AC14" s="14">
        <f t="shared" si="9"/>
        <v>75.075075075075077</v>
      </c>
      <c r="AD14" s="14">
        <v>4250</v>
      </c>
      <c r="AE14" s="14">
        <f>VLOOKUP(C14,'[1]CNC Trimming Cycle time'!C:R,16,0)</f>
        <v>36.828028340482149</v>
      </c>
      <c r="AF14" s="14">
        <f t="shared" si="10"/>
        <v>111.90310341555723</v>
      </c>
      <c r="AG14" s="14">
        <f t="shared" si="11"/>
        <v>1064.6325050155572</v>
      </c>
      <c r="AH14" s="14">
        <f>X14*[1]Consideration!$C$18</f>
        <v>21.436411535999998</v>
      </c>
      <c r="AI14" s="14">
        <f>X14*[1]Consideration!$C$17</f>
        <v>9.527294015999999</v>
      </c>
      <c r="AJ14" s="14">
        <f>IFERROR(AF14*[1]Consideration!$C$19,"")</f>
        <v>8.9522482732445781</v>
      </c>
      <c r="AK14" s="14">
        <f>IFERROR(AG14*[1]Consideration!$C$20,"")</f>
        <v>74.524275351089003</v>
      </c>
      <c r="AL14" s="14">
        <f>SUM(AG14:AK14)+AM14</f>
        <v>1210.8727341918907</v>
      </c>
      <c r="AM14" s="20">
        <v>31.8</v>
      </c>
      <c r="AN14" s="20" t="s">
        <v>68</v>
      </c>
      <c r="AO14" s="21" t="s">
        <v>69</v>
      </c>
      <c r="AP14" s="5" t="s">
        <v>70</v>
      </c>
    </row>
    <row r="15" spans="1:42" s="5" customFormat="1" ht="25.5" x14ac:dyDescent="0.25">
      <c r="A15" s="6" t="s">
        <v>64</v>
      </c>
      <c r="B15" s="7">
        <v>3</v>
      </c>
      <c r="C15" s="7" t="s">
        <v>71</v>
      </c>
      <c r="D15" s="7" t="s">
        <v>42</v>
      </c>
      <c r="E15" s="6" t="s">
        <v>72</v>
      </c>
      <c r="F15" s="7">
        <v>1</v>
      </c>
      <c r="G15" s="8">
        <v>1</v>
      </c>
      <c r="H15" s="23">
        <v>782</v>
      </c>
      <c r="I15" s="23">
        <v>202</v>
      </c>
      <c r="J15" s="10">
        <v>16</v>
      </c>
      <c r="K15" s="11">
        <v>3</v>
      </c>
      <c r="L15" s="11">
        <f>+H15+40*2+2*J15+20</f>
        <v>914</v>
      </c>
      <c r="M15" s="11">
        <f>+I15+40*2+J15*2+20</f>
        <v>334</v>
      </c>
      <c r="N15" s="10">
        <v>4</v>
      </c>
      <c r="O15" s="12">
        <v>1</v>
      </c>
      <c r="P15" s="13">
        <f t="shared" si="1"/>
        <v>1.2943702399999999</v>
      </c>
      <c r="Q15" s="14">
        <v>243</v>
      </c>
      <c r="R15" s="14">
        <f t="shared" si="2"/>
        <v>314.53196831999998</v>
      </c>
      <c r="S15" s="22">
        <v>0.6</v>
      </c>
      <c r="T15" s="16">
        <f t="shared" si="3"/>
        <v>0.69437023999999992</v>
      </c>
      <c r="U15" s="14">
        <f t="shared" si="4"/>
        <v>0.62493321599999996</v>
      </c>
      <c r="V15" s="17">
        <f>[1]RM_database!$F$40</f>
        <v>35</v>
      </c>
      <c r="W15" s="18">
        <f t="shared" si="5"/>
        <v>21.872662559999998</v>
      </c>
      <c r="X15" s="14">
        <f t="shared" si="6"/>
        <v>292.65930576</v>
      </c>
      <c r="Y15" s="19">
        <v>3000</v>
      </c>
      <c r="Z15" s="20">
        <v>10</v>
      </c>
      <c r="AA15" s="14">
        <f t="shared" si="7"/>
        <v>1</v>
      </c>
      <c r="AB15" s="19">
        <f t="shared" si="8"/>
        <v>39.96</v>
      </c>
      <c r="AC15" s="14">
        <f t="shared" si="9"/>
        <v>75.075075075075077</v>
      </c>
      <c r="AD15" s="14">
        <v>4250</v>
      </c>
      <c r="AE15" s="14">
        <f>VLOOKUP(C15,'[1]CNC Trimming Cycle time'!C:R,16,0)</f>
        <v>26.344622811115357</v>
      </c>
      <c r="AF15" s="14">
        <f t="shared" si="10"/>
        <v>101.41969788619043</v>
      </c>
      <c r="AG15" s="14">
        <f t="shared" si="11"/>
        <v>394.07900364619042</v>
      </c>
      <c r="AH15" s="14">
        <f>X15*[1]Consideration!$C$18</f>
        <v>6.5848343795999993</v>
      </c>
      <c r="AI15" s="14">
        <f>X15*[1]Consideration!$C$17</f>
        <v>2.9265930575999999</v>
      </c>
      <c r="AJ15" s="14">
        <f>IFERROR(AF15*[1]Consideration!$C$19,"")</f>
        <v>8.1135758308952344</v>
      </c>
      <c r="AK15" s="14">
        <f>IFERROR(AG15*[1]Consideration!$C$20,"")</f>
        <v>27.58553025523333</v>
      </c>
      <c r="AL15" s="14">
        <f t="shared" ref="AL15:AL21" si="14">SUM(AG15:AK15)+AM15</f>
        <v>450.48953716951894</v>
      </c>
      <c r="AM15" s="20">
        <v>11.2</v>
      </c>
      <c r="AN15" s="20" t="s">
        <v>73</v>
      </c>
      <c r="AO15" s="21" t="s">
        <v>69</v>
      </c>
      <c r="AP15" s="5" t="s">
        <v>70</v>
      </c>
    </row>
    <row r="16" spans="1:42" s="5" customFormat="1" ht="25.5" x14ac:dyDescent="0.25">
      <c r="A16" s="6" t="s">
        <v>74</v>
      </c>
      <c r="B16" s="7">
        <v>3</v>
      </c>
      <c r="C16" s="7" t="s">
        <v>75</v>
      </c>
      <c r="D16" s="7" t="s">
        <v>42</v>
      </c>
      <c r="E16" s="6" t="s">
        <v>76</v>
      </c>
      <c r="F16" s="7">
        <v>1</v>
      </c>
      <c r="G16" s="8">
        <v>1</v>
      </c>
      <c r="H16" s="9">
        <v>888</v>
      </c>
      <c r="I16" s="10">
        <v>642</v>
      </c>
      <c r="J16" s="10">
        <v>63</v>
      </c>
      <c r="K16" s="11">
        <v>3</v>
      </c>
      <c r="L16" s="11">
        <f>+H16+40*2+2*J16+20</f>
        <v>1114</v>
      </c>
      <c r="M16" s="11">
        <f>+I16+40*2+J16*2+20</f>
        <v>868</v>
      </c>
      <c r="N16" s="10">
        <v>4</v>
      </c>
      <c r="O16" s="12">
        <v>1</v>
      </c>
      <c r="P16" s="13">
        <f t="shared" si="1"/>
        <v>4.0998764799999998</v>
      </c>
      <c r="Q16" s="14">
        <v>243</v>
      </c>
      <c r="R16" s="14">
        <f t="shared" si="2"/>
        <v>996.26998463999996</v>
      </c>
      <c r="S16" s="22">
        <v>1.669</v>
      </c>
      <c r="T16" s="16">
        <f t="shared" si="3"/>
        <v>2.4308764799999998</v>
      </c>
      <c r="U16" s="14">
        <f t="shared" si="4"/>
        <v>2.1877888319999999</v>
      </c>
      <c r="V16" s="17">
        <f>[1]RM_database!$F$40</f>
        <v>35</v>
      </c>
      <c r="W16" s="18">
        <f t="shared" si="5"/>
        <v>76.572609119999996</v>
      </c>
      <c r="X16" s="14">
        <f t="shared" si="6"/>
        <v>919.69737551999992</v>
      </c>
      <c r="Y16" s="19">
        <v>3000</v>
      </c>
      <c r="Z16" s="20">
        <v>10</v>
      </c>
      <c r="AA16" s="14">
        <f t="shared" si="7"/>
        <v>1</v>
      </c>
      <c r="AB16" s="19">
        <f t="shared" si="8"/>
        <v>39.96</v>
      </c>
      <c r="AC16" s="14">
        <f t="shared" si="9"/>
        <v>75.075075075075077</v>
      </c>
      <c r="AD16" s="14">
        <v>4250</v>
      </c>
      <c r="AE16" s="14">
        <f>VLOOKUP(C16,'[1]CNC Trimming Cycle time'!C:R,16,0)</f>
        <v>30.51170265851276</v>
      </c>
      <c r="AF16" s="14">
        <f t="shared" si="10"/>
        <v>105.58677773358784</v>
      </c>
      <c r="AG16" s="14">
        <f t="shared" si="11"/>
        <v>1025.2841532535876</v>
      </c>
      <c r="AH16" s="14">
        <f>X16*[1]Consideration!$C$18</f>
        <v>20.693190949199998</v>
      </c>
      <c r="AI16" s="14">
        <f>X16*[1]Consideration!$C$17</f>
        <v>9.1969737552000002</v>
      </c>
      <c r="AJ16" s="14">
        <f>IFERROR(AF16*[1]Consideration!$C$19,"")</f>
        <v>8.4469422186870275</v>
      </c>
      <c r="AK16" s="14">
        <f>IFERROR(AG16*[1]Consideration!$C$20,"")</f>
        <v>71.769890727751147</v>
      </c>
      <c r="AL16" s="14">
        <f t="shared" si="14"/>
        <v>1147.7211509044257</v>
      </c>
      <c r="AM16" s="20">
        <v>12.33</v>
      </c>
      <c r="AN16" s="20" t="s">
        <v>77</v>
      </c>
      <c r="AO16" s="21" t="s">
        <v>78</v>
      </c>
      <c r="AP16" s="5" t="s">
        <v>70</v>
      </c>
    </row>
    <row r="17" spans="1:42" s="5" customFormat="1" ht="25.5" x14ac:dyDescent="0.25">
      <c r="A17" s="6" t="s">
        <v>47</v>
      </c>
      <c r="B17" s="7">
        <v>3</v>
      </c>
      <c r="C17" s="7" t="s">
        <v>79</v>
      </c>
      <c r="D17" s="7" t="s">
        <v>42</v>
      </c>
      <c r="E17" s="6" t="s">
        <v>80</v>
      </c>
      <c r="F17" s="7">
        <v>1</v>
      </c>
      <c r="G17" s="8">
        <v>1</v>
      </c>
      <c r="H17" s="9">
        <v>1152</v>
      </c>
      <c r="I17" s="10">
        <v>164</v>
      </c>
      <c r="J17" s="10">
        <v>85</v>
      </c>
      <c r="K17" s="11">
        <v>3</v>
      </c>
      <c r="L17" s="11">
        <f>+H17+40*2+J17+20</f>
        <v>1337</v>
      </c>
      <c r="M17" s="11">
        <f>+I17+40*2+J17*2+20</f>
        <v>434</v>
      </c>
      <c r="N17" s="10">
        <v>5</v>
      </c>
      <c r="O17" s="12">
        <v>1</v>
      </c>
      <c r="P17" s="13">
        <f t="shared" si="1"/>
        <v>3.0753674000000002</v>
      </c>
      <c r="Q17" s="14">
        <v>243</v>
      </c>
      <c r="R17" s="14">
        <f t="shared" si="2"/>
        <v>747.3142782000001</v>
      </c>
      <c r="S17" s="22">
        <v>0.438</v>
      </c>
      <c r="T17" s="16">
        <f t="shared" si="3"/>
        <v>2.6373674</v>
      </c>
      <c r="U17" s="14">
        <f t="shared" si="4"/>
        <v>2.3736306599999999</v>
      </c>
      <c r="V17" s="17">
        <f>[1]RM_database!$F$40</f>
        <v>35</v>
      </c>
      <c r="W17" s="18">
        <f t="shared" si="5"/>
        <v>83.077073099999993</v>
      </c>
      <c r="X17" s="14">
        <f t="shared" si="6"/>
        <v>664.2372051000001</v>
      </c>
      <c r="Y17" s="19">
        <v>3000</v>
      </c>
      <c r="Z17" s="20">
        <v>10</v>
      </c>
      <c r="AA17" s="14">
        <f t="shared" si="7"/>
        <v>1</v>
      </c>
      <c r="AB17" s="19">
        <f t="shared" si="8"/>
        <v>39.96</v>
      </c>
      <c r="AC17" s="14">
        <f t="shared" si="9"/>
        <v>75.075075075075077</v>
      </c>
      <c r="AD17" s="14">
        <v>4250</v>
      </c>
      <c r="AE17" s="14">
        <f>VLOOKUP(C17,'[1]CNC Trimming Cycle time'!C:R,16,0)</f>
        <v>28.601380572188955</v>
      </c>
      <c r="AF17" s="14">
        <f t="shared" si="10"/>
        <v>103.67645564726404</v>
      </c>
      <c r="AG17" s="14">
        <f t="shared" si="11"/>
        <v>767.91366074726409</v>
      </c>
      <c r="AH17" s="14">
        <f>X17*[1]Consideration!$C$18</f>
        <v>14.945337114750002</v>
      </c>
      <c r="AI17" s="14">
        <f>X17*[1]Consideration!$C$17</f>
        <v>6.6423720510000015</v>
      </c>
      <c r="AJ17" s="14">
        <f>IFERROR(AF17*[1]Consideration!$C$19,"")</f>
        <v>8.2941164517811234</v>
      </c>
      <c r="AK17" s="14">
        <f>IFERROR(AG17*[1]Consideration!$C$20,"")</f>
        <v>53.753956252308491</v>
      </c>
      <c r="AL17" s="14">
        <f t="shared" si="14"/>
        <v>863.8794426171039</v>
      </c>
      <c r="AM17" s="20">
        <v>12.33</v>
      </c>
      <c r="AN17" s="20" t="s">
        <v>77</v>
      </c>
      <c r="AO17" s="21" t="s">
        <v>78</v>
      </c>
      <c r="AP17" s="5" t="s">
        <v>70</v>
      </c>
    </row>
    <row r="18" spans="1:42" s="5" customFormat="1" ht="25.5" x14ac:dyDescent="0.25">
      <c r="A18" s="6" t="s">
        <v>47</v>
      </c>
      <c r="B18" s="7">
        <v>3</v>
      </c>
      <c r="C18" s="7" t="s">
        <v>81</v>
      </c>
      <c r="D18" s="7" t="s">
        <v>42</v>
      </c>
      <c r="E18" s="6" t="s">
        <v>80</v>
      </c>
      <c r="F18" s="7">
        <v>1</v>
      </c>
      <c r="G18" s="8">
        <v>1</v>
      </c>
      <c r="H18" s="9">
        <v>1152</v>
      </c>
      <c r="I18" s="10">
        <v>164</v>
      </c>
      <c r="J18" s="10">
        <v>85</v>
      </c>
      <c r="K18" s="11">
        <v>3</v>
      </c>
      <c r="L18" s="11">
        <f>+H18+40*2+J18+20</f>
        <v>1337</v>
      </c>
      <c r="M18" s="11">
        <f t="shared" ref="M18:M19" si="15">+I18+40*2+J18*2+20</f>
        <v>434</v>
      </c>
      <c r="N18" s="10">
        <v>4</v>
      </c>
      <c r="O18" s="12">
        <v>1</v>
      </c>
      <c r="P18" s="13">
        <f t="shared" si="1"/>
        <v>2.4602939199999998</v>
      </c>
      <c r="Q18" s="14">
        <v>243</v>
      </c>
      <c r="R18" s="14">
        <f t="shared" si="2"/>
        <v>597.85142255999995</v>
      </c>
      <c r="S18" s="22">
        <v>0.41</v>
      </c>
      <c r="T18" s="16">
        <f t="shared" si="3"/>
        <v>2.0502939199999997</v>
      </c>
      <c r="U18" s="14">
        <f t="shared" si="4"/>
        <v>1.8452645279999997</v>
      </c>
      <c r="V18" s="17">
        <f>[1]RM_database!$F$40</f>
        <v>35</v>
      </c>
      <c r="W18" s="18">
        <f t="shared" si="5"/>
        <v>64.584258479999988</v>
      </c>
      <c r="X18" s="14">
        <f t="shared" si="6"/>
        <v>533.26716407999993</v>
      </c>
      <c r="Y18" s="19">
        <v>3000</v>
      </c>
      <c r="Z18" s="20">
        <v>10</v>
      </c>
      <c r="AA18" s="14">
        <f t="shared" si="7"/>
        <v>1</v>
      </c>
      <c r="AB18" s="19">
        <f t="shared" si="8"/>
        <v>39.96</v>
      </c>
      <c r="AC18" s="14">
        <f t="shared" si="9"/>
        <v>75.075075075075077</v>
      </c>
      <c r="AD18" s="14">
        <v>4250</v>
      </c>
      <c r="AE18" s="14">
        <f>VLOOKUP(C18,'[1]CNC Trimming Cycle time'!C:R,16,0)</f>
        <v>28.601380572188955</v>
      </c>
      <c r="AF18" s="14">
        <f t="shared" si="10"/>
        <v>103.67645564726404</v>
      </c>
      <c r="AG18" s="14">
        <f t="shared" si="11"/>
        <v>636.94361972726392</v>
      </c>
      <c r="AH18" s="14">
        <f>X18*[1]Consideration!$C$18</f>
        <v>11.998511191799999</v>
      </c>
      <c r="AI18" s="14">
        <f>X18*[1]Consideration!$C$17</f>
        <v>5.3326716407999992</v>
      </c>
      <c r="AJ18" s="14">
        <f>IFERROR(AF18*[1]Consideration!$C$19,"")</f>
        <v>8.2941164517811234</v>
      </c>
      <c r="AK18" s="14">
        <f>IFERROR(AG18*[1]Consideration!$C$20,"")</f>
        <v>44.586053380908481</v>
      </c>
      <c r="AL18" s="14">
        <f t="shared" si="14"/>
        <v>719.48497239255369</v>
      </c>
      <c r="AM18" s="20">
        <v>12.33</v>
      </c>
      <c r="AN18" s="20" t="s">
        <v>77</v>
      </c>
      <c r="AO18" s="21" t="s">
        <v>78</v>
      </c>
      <c r="AP18" s="5" t="s">
        <v>70</v>
      </c>
    </row>
    <row r="19" spans="1:42" s="5" customFormat="1" ht="25.5" x14ac:dyDescent="0.25">
      <c r="A19" s="24" t="s">
        <v>47</v>
      </c>
      <c r="B19" s="25">
        <v>3</v>
      </c>
      <c r="C19" s="25" t="s">
        <v>82</v>
      </c>
      <c r="D19" s="7" t="s">
        <v>42</v>
      </c>
      <c r="E19" s="6" t="s">
        <v>83</v>
      </c>
      <c r="F19" s="7">
        <v>1</v>
      </c>
      <c r="G19" s="8">
        <v>1</v>
      </c>
      <c r="H19" s="9">
        <v>1152</v>
      </c>
      <c r="I19" s="10">
        <v>164</v>
      </c>
      <c r="J19" s="10">
        <v>85</v>
      </c>
      <c r="K19" s="11">
        <v>3</v>
      </c>
      <c r="L19" s="11">
        <f>+H19+40*2+J19+20</f>
        <v>1337</v>
      </c>
      <c r="M19" s="11">
        <f t="shared" si="15"/>
        <v>434</v>
      </c>
      <c r="N19" s="10">
        <v>4</v>
      </c>
      <c r="O19" s="12">
        <v>1</v>
      </c>
      <c r="P19" s="13">
        <f>L19*M19*N19*1.06/1000000/G19</f>
        <v>2.4602939199999998</v>
      </c>
      <c r="Q19" s="14">
        <v>243</v>
      </c>
      <c r="R19" s="14">
        <f>P19*Q19</f>
        <v>597.85142255999995</v>
      </c>
      <c r="S19" s="22">
        <v>0.41</v>
      </c>
      <c r="T19" s="16">
        <f t="shared" si="3"/>
        <v>2.0502939199999997</v>
      </c>
      <c r="U19" s="14">
        <f t="shared" si="4"/>
        <v>1.8452645279999997</v>
      </c>
      <c r="V19" s="17">
        <f>[1]RM_database!$F$40</f>
        <v>35</v>
      </c>
      <c r="W19" s="18">
        <f t="shared" si="5"/>
        <v>64.584258479999988</v>
      </c>
      <c r="X19" s="14">
        <f t="shared" si="6"/>
        <v>533.26716407999993</v>
      </c>
      <c r="Y19" s="19">
        <v>3000</v>
      </c>
      <c r="Z19" s="20">
        <v>10</v>
      </c>
      <c r="AA19" s="14">
        <f t="shared" si="7"/>
        <v>1</v>
      </c>
      <c r="AB19" s="19">
        <f t="shared" si="8"/>
        <v>39.96</v>
      </c>
      <c r="AC19" s="14">
        <f t="shared" si="9"/>
        <v>75.075075075075077</v>
      </c>
      <c r="AD19" s="14">
        <v>4250</v>
      </c>
      <c r="AE19" s="14">
        <f>VLOOKUP(C19,'[1]CNC Trimming Cycle time'!C:R,16,0)</f>
        <v>28.601380572188955</v>
      </c>
      <c r="AF19" s="14">
        <f t="shared" si="10"/>
        <v>103.67645564726404</v>
      </c>
      <c r="AG19" s="14">
        <f t="shared" si="11"/>
        <v>636.94361972726392</v>
      </c>
      <c r="AH19" s="14">
        <f>X19*[1]Consideration!$C$18</f>
        <v>11.998511191799999</v>
      </c>
      <c r="AI19" s="14">
        <f>X19*[1]Consideration!$C$17</f>
        <v>5.3326716407999992</v>
      </c>
      <c r="AJ19" s="14">
        <f>IFERROR(AF19*[1]Consideration!$C$19,"")</f>
        <v>8.2941164517811234</v>
      </c>
      <c r="AK19" s="14">
        <f>IFERROR(AG19*[1]Consideration!$C$20,"")</f>
        <v>44.586053380908481</v>
      </c>
      <c r="AL19" s="14">
        <f t="shared" si="14"/>
        <v>719.48497239255369</v>
      </c>
      <c r="AM19" s="20">
        <v>12.33</v>
      </c>
      <c r="AN19" s="20" t="s">
        <v>77</v>
      </c>
      <c r="AO19" s="21" t="s">
        <v>78</v>
      </c>
      <c r="AP19" s="5" t="s">
        <v>70</v>
      </c>
    </row>
    <row r="20" spans="1:42" s="5" customFormat="1" ht="15.75" x14ac:dyDescent="0.25">
      <c r="A20" s="6" t="s">
        <v>47</v>
      </c>
      <c r="B20" s="7">
        <v>3</v>
      </c>
      <c r="C20" s="7" t="s">
        <v>84</v>
      </c>
      <c r="D20" s="7" t="s">
        <v>42</v>
      </c>
      <c r="E20" s="6" t="s">
        <v>85</v>
      </c>
      <c r="F20" s="7">
        <v>1</v>
      </c>
      <c r="G20" s="8">
        <v>1</v>
      </c>
      <c r="H20" s="9">
        <v>600</v>
      </c>
      <c r="I20" s="10">
        <v>116</v>
      </c>
      <c r="J20" s="10">
        <v>33</v>
      </c>
      <c r="K20" s="11">
        <v>3</v>
      </c>
      <c r="L20" s="11">
        <f>+H20+40*2+2*J20+20</f>
        <v>766</v>
      </c>
      <c r="M20" s="11">
        <f>+I20+40*2+J20*2+20</f>
        <v>282</v>
      </c>
      <c r="N20" s="10">
        <v>4</v>
      </c>
      <c r="O20" s="12">
        <v>1</v>
      </c>
      <c r="P20" s="13">
        <f t="shared" si="1"/>
        <v>0.91589087999999996</v>
      </c>
      <c r="Q20" s="14">
        <v>243</v>
      </c>
      <c r="R20" s="14">
        <f t="shared" si="2"/>
        <v>222.56148383999999</v>
      </c>
      <c r="S20" s="22">
        <v>0.23400000000000001</v>
      </c>
      <c r="T20" s="16">
        <f t="shared" si="3"/>
        <v>0.68189087999999998</v>
      </c>
      <c r="U20" s="14">
        <f t="shared" si="4"/>
        <v>0.61370179199999997</v>
      </c>
      <c r="V20" s="17">
        <f>[1]RM_database!$F$40</f>
        <v>35</v>
      </c>
      <c r="W20" s="18">
        <f t="shared" si="5"/>
        <v>21.479562720000001</v>
      </c>
      <c r="X20" s="14">
        <f t="shared" si="6"/>
        <v>201.08192112</v>
      </c>
      <c r="Y20" s="19">
        <v>3000</v>
      </c>
      <c r="Z20" s="20">
        <v>10</v>
      </c>
      <c r="AA20" s="14">
        <v>0</v>
      </c>
      <c r="AB20" s="19">
        <v>0</v>
      </c>
      <c r="AC20" s="14">
        <v>0</v>
      </c>
      <c r="AD20" s="14">
        <v>0</v>
      </c>
      <c r="AE20" s="14">
        <f>VLOOKUP(C20,'[1]CNC Trimming Cycle time'!C:R,16,0)</f>
        <v>22.538417845160744</v>
      </c>
      <c r="AF20" s="14">
        <f t="shared" si="10"/>
        <v>22.538417845160744</v>
      </c>
      <c r="AG20" s="14">
        <f t="shared" si="11"/>
        <v>223.62033896516076</v>
      </c>
      <c r="AH20" s="14">
        <f>X20*[1]Consideration!$C$18</f>
        <v>4.5243432252</v>
      </c>
      <c r="AI20" s="14">
        <f>X20*[1]Consideration!$C$17</f>
        <v>2.0108192112000003</v>
      </c>
      <c r="AJ20" s="14">
        <f>IFERROR(AF20*[1]Consideration!$C$19,"")</f>
        <v>1.8030734276128595</v>
      </c>
      <c r="AK20" s="14">
        <f>IFERROR(AG20*[1]Consideration!$C$20,"")</f>
        <v>15.653423727561254</v>
      </c>
      <c r="AL20" s="14">
        <f t="shared" si="14"/>
        <v>247.61199855673487</v>
      </c>
      <c r="AM20" s="20"/>
      <c r="AN20" s="20"/>
      <c r="AO20" s="21"/>
    </row>
    <row r="21" spans="1:42" s="5" customFormat="1" ht="25.5" x14ac:dyDescent="0.25">
      <c r="A21" s="6" t="s">
        <v>47</v>
      </c>
      <c r="B21" s="7">
        <v>3</v>
      </c>
      <c r="C21" s="7" t="s">
        <v>86</v>
      </c>
      <c r="D21" s="7" t="s">
        <v>42</v>
      </c>
      <c r="E21" s="6" t="s">
        <v>87</v>
      </c>
      <c r="F21" s="7">
        <v>1</v>
      </c>
      <c r="G21" s="8">
        <v>1</v>
      </c>
      <c r="H21" s="9">
        <v>1640</v>
      </c>
      <c r="I21" s="10">
        <v>117</v>
      </c>
      <c r="J21" s="10">
        <v>93</v>
      </c>
      <c r="K21" s="11">
        <v>3</v>
      </c>
      <c r="L21" s="11">
        <f>+H21+40*2+J21</f>
        <v>1813</v>
      </c>
      <c r="M21" s="11">
        <f>+I21+40*2+J21</f>
        <v>290</v>
      </c>
      <c r="N21" s="10">
        <v>4</v>
      </c>
      <c r="O21" s="12">
        <v>1</v>
      </c>
      <c r="P21" s="13">
        <f t="shared" si="1"/>
        <v>2.2292648000000002</v>
      </c>
      <c r="Q21" s="14">
        <v>243</v>
      </c>
      <c r="R21" s="14">
        <f t="shared" si="2"/>
        <v>541.71134640000002</v>
      </c>
      <c r="S21" s="22">
        <v>0.57599999999999996</v>
      </c>
      <c r="T21" s="16">
        <f t="shared" si="3"/>
        <v>1.6532648000000001</v>
      </c>
      <c r="U21" s="14">
        <f t="shared" si="4"/>
        <v>1.48793832</v>
      </c>
      <c r="V21" s="17">
        <f>[1]RM_database!$F$40</f>
        <v>35</v>
      </c>
      <c r="W21" s="18">
        <f t="shared" si="5"/>
        <v>52.077841200000002</v>
      </c>
      <c r="X21" s="14">
        <f t="shared" si="6"/>
        <v>489.6335052</v>
      </c>
      <c r="Y21" s="19">
        <v>3000</v>
      </c>
      <c r="Z21" s="20">
        <v>10</v>
      </c>
      <c r="AA21" s="14">
        <f t="shared" si="7"/>
        <v>1</v>
      </c>
      <c r="AB21" s="19">
        <f t="shared" si="8"/>
        <v>39.96</v>
      </c>
      <c r="AC21" s="14">
        <f t="shared" si="9"/>
        <v>75.075075075075077</v>
      </c>
      <c r="AD21" s="14">
        <v>4250</v>
      </c>
      <c r="AE21" s="14">
        <f>VLOOKUP(C21,'[1]CNC Trimming Cycle time'!C:R,16,0)</f>
        <v>32.538072348211386</v>
      </c>
      <c r="AF21" s="14">
        <f t="shared" si="10"/>
        <v>107.61314742328646</v>
      </c>
      <c r="AG21" s="14">
        <f t="shared" si="11"/>
        <v>597.24665262328642</v>
      </c>
      <c r="AH21" s="14">
        <f>X21*[1]Consideration!$C$18</f>
        <v>11.016753867</v>
      </c>
      <c r="AI21" s="14">
        <f>X21*[1]Consideration!$C$17</f>
        <v>4.8963350520000004</v>
      </c>
      <c r="AJ21" s="14">
        <f>IFERROR(AF21*[1]Consideration!$C$19,"")</f>
        <v>8.6090517938629176</v>
      </c>
      <c r="AK21" s="14">
        <f>IFERROR(AG21*[1]Consideration!$C$20,"")</f>
        <v>41.807265683630057</v>
      </c>
      <c r="AL21" s="14">
        <f t="shared" si="14"/>
        <v>679.60605901977942</v>
      </c>
      <c r="AM21" s="20">
        <v>16.03</v>
      </c>
      <c r="AN21" s="20" t="s">
        <v>88</v>
      </c>
      <c r="AO21" s="21" t="s">
        <v>89</v>
      </c>
      <c r="AP21" s="5" t="s">
        <v>70</v>
      </c>
    </row>
    <row r="22" spans="1:42" s="5" customFormat="1" ht="15.75" x14ac:dyDescent="0.25">
      <c r="A22" s="6" t="s">
        <v>74</v>
      </c>
      <c r="B22" s="7">
        <v>3</v>
      </c>
      <c r="C22" s="7" t="s">
        <v>90</v>
      </c>
      <c r="D22" s="7" t="s">
        <v>42</v>
      </c>
      <c r="E22" s="6" t="s">
        <v>91</v>
      </c>
      <c r="F22" s="7">
        <v>1</v>
      </c>
      <c r="G22" s="8">
        <v>1</v>
      </c>
      <c r="H22" s="9">
        <v>1338</v>
      </c>
      <c r="I22" s="10">
        <v>514</v>
      </c>
      <c r="J22" s="10">
        <v>60</v>
      </c>
      <c r="K22" s="11">
        <v>3</v>
      </c>
      <c r="L22" s="11">
        <f>+H22+2*40+20*2</f>
        <v>1458</v>
      </c>
      <c r="M22" s="11">
        <f>+I22+2*40+J22*2</f>
        <v>714</v>
      </c>
      <c r="N22" s="10">
        <v>4</v>
      </c>
      <c r="O22" s="12">
        <v>1</v>
      </c>
      <c r="P22" s="13">
        <f t="shared" si="1"/>
        <v>4.4138908800000003</v>
      </c>
      <c r="Q22" s="14">
        <v>243</v>
      </c>
      <c r="R22" s="14">
        <f t="shared" si="2"/>
        <v>1072.5754838400001</v>
      </c>
      <c r="S22" s="22">
        <v>2.2999999999999998</v>
      </c>
      <c r="T22" s="16">
        <f t="shared" si="3"/>
        <v>2.1138908800000005</v>
      </c>
      <c r="U22" s="14">
        <f t="shared" si="4"/>
        <v>1.9025017920000005</v>
      </c>
      <c r="V22" s="17">
        <f>[1]RM_database!$F$40</f>
        <v>35</v>
      </c>
      <c r="W22" s="18">
        <f t="shared" si="5"/>
        <v>66.587562720000022</v>
      </c>
      <c r="X22" s="14">
        <f t="shared" si="6"/>
        <v>1005.98792112</v>
      </c>
      <c r="Y22" s="19">
        <v>3000</v>
      </c>
      <c r="Z22" s="20">
        <v>10</v>
      </c>
      <c r="AA22" s="14">
        <f t="shared" si="7"/>
        <v>1</v>
      </c>
      <c r="AB22" s="19">
        <f t="shared" si="8"/>
        <v>39.96</v>
      </c>
      <c r="AC22" s="14">
        <f t="shared" si="9"/>
        <v>75.075075075075077</v>
      </c>
      <c r="AD22" s="14">
        <v>4250</v>
      </c>
      <c r="AE22" s="14">
        <f>VLOOKUP(C22,'[1]CNC Trimming Cycle time'!C:R,16,0)</f>
        <v>33.446892562392947</v>
      </c>
      <c r="AF22" s="14">
        <f t="shared" si="10"/>
        <v>108.52196763746802</v>
      </c>
      <c r="AG22" s="14">
        <f t="shared" si="11"/>
        <v>1114.5098887574679</v>
      </c>
      <c r="AH22" s="14">
        <f>X22*[1]Consideration!$C$18</f>
        <v>22.6347282252</v>
      </c>
      <c r="AI22" s="14">
        <f>X22*[1]Consideration!$C$17</f>
        <v>10.0598792112</v>
      </c>
      <c r="AJ22" s="14">
        <f>IFERROR(AF22*[1]Consideration!$C$19,"")</f>
        <v>8.6817574109974416</v>
      </c>
      <c r="AK22" s="14">
        <f>IFERROR(AG22*[1]Consideration!$C$20,"")</f>
        <v>78.01569221302276</v>
      </c>
      <c r="AL22" s="14">
        <f t="shared" si="12"/>
        <v>1233.9019458178882</v>
      </c>
      <c r="AM22" s="20"/>
      <c r="AN22" s="20"/>
      <c r="AO22" s="21"/>
    </row>
    <row r="23" spans="1:42" s="5" customFormat="1" ht="15.75" x14ac:dyDescent="0.25">
      <c r="A23" s="6" t="s">
        <v>74</v>
      </c>
      <c r="B23" s="7">
        <v>3</v>
      </c>
      <c r="C23" s="7" t="s">
        <v>92</v>
      </c>
      <c r="D23" s="7" t="s">
        <v>42</v>
      </c>
      <c r="E23" s="6" t="s">
        <v>49</v>
      </c>
      <c r="F23" s="8"/>
      <c r="G23" s="8"/>
      <c r="H23" s="9"/>
      <c r="I23" s="10"/>
      <c r="J23" s="10"/>
      <c r="K23" s="11"/>
      <c r="L23" s="11"/>
      <c r="M23" s="11"/>
      <c r="N23" s="10"/>
      <c r="O23" s="12"/>
      <c r="P23" s="13" t="e">
        <f t="shared" si="1"/>
        <v>#DIV/0!</v>
      </c>
      <c r="Q23" s="14">
        <v>243</v>
      </c>
      <c r="R23" s="14" t="e">
        <f t="shared" si="2"/>
        <v>#DIV/0!</v>
      </c>
      <c r="S23" s="22">
        <v>2.9</v>
      </c>
      <c r="T23" s="16" t="e">
        <f t="shared" si="3"/>
        <v>#DIV/0!</v>
      </c>
      <c r="U23" s="14" t="e">
        <f t="shared" si="4"/>
        <v>#DIV/0!</v>
      </c>
      <c r="V23" s="17">
        <f>[1]RM_database!$F$40</f>
        <v>35</v>
      </c>
      <c r="W23" s="18" t="e">
        <f t="shared" si="5"/>
        <v>#DIV/0!</v>
      </c>
      <c r="X23" s="14" t="e">
        <f t="shared" si="6"/>
        <v>#DIV/0!</v>
      </c>
      <c r="Y23" s="19">
        <v>3000</v>
      </c>
      <c r="Z23" s="20">
        <v>10</v>
      </c>
      <c r="AA23" s="14">
        <f t="shared" si="7"/>
        <v>0</v>
      </c>
      <c r="AB23" s="19">
        <f t="shared" si="8"/>
        <v>0</v>
      </c>
      <c r="AC23" s="14" t="str">
        <f t="shared" si="9"/>
        <v/>
      </c>
      <c r="AD23" s="14">
        <v>4250</v>
      </c>
      <c r="AE23" s="14">
        <f>VLOOKUP(C23,'[1]CNC Trimming Cycle time'!C:R,16,0)</f>
        <v>0</v>
      </c>
      <c r="AF23" s="14" t="str">
        <f t="shared" si="10"/>
        <v/>
      </c>
      <c r="AG23" s="14" t="str">
        <f t="shared" si="11"/>
        <v/>
      </c>
      <c r="AH23" s="14" t="e">
        <f>X23*[1]Consideration!$C$18</f>
        <v>#DIV/0!</v>
      </c>
      <c r="AI23" s="14" t="e">
        <f>X23*[1]Consideration!$C$17</f>
        <v>#DIV/0!</v>
      </c>
      <c r="AJ23" s="14" t="str">
        <f>IFERROR(AF23*[1]Consideration!$C$19,"")</f>
        <v/>
      </c>
      <c r="AK23" s="14" t="str">
        <f>IFERROR(AG23*[1]Consideration!$C$20,"")</f>
        <v/>
      </c>
      <c r="AL23" s="14" t="e">
        <f t="shared" si="12"/>
        <v>#DIV/0!</v>
      </c>
      <c r="AM23" s="20"/>
      <c r="AN23" s="20"/>
      <c r="AO23" s="21"/>
    </row>
    <row r="24" spans="1:42" s="5" customFormat="1" ht="15.75" x14ac:dyDescent="0.25">
      <c r="A24" s="6" t="s">
        <v>74</v>
      </c>
      <c r="B24" s="7">
        <v>3</v>
      </c>
      <c r="C24" s="7" t="s">
        <v>93</v>
      </c>
      <c r="D24" s="7" t="s">
        <v>42</v>
      </c>
      <c r="E24" s="6" t="s">
        <v>94</v>
      </c>
      <c r="F24" s="8">
        <v>1</v>
      </c>
      <c r="G24" s="8">
        <v>1</v>
      </c>
      <c r="H24" s="9">
        <v>926</v>
      </c>
      <c r="I24" s="10">
        <v>544</v>
      </c>
      <c r="J24" s="10">
        <v>68</v>
      </c>
      <c r="K24" s="11">
        <v>3</v>
      </c>
      <c r="L24" s="11">
        <f>+H24+40*2+J24*2</f>
        <v>1142</v>
      </c>
      <c r="M24" s="11">
        <f>+I24+40*2+J24*2</f>
        <v>760</v>
      </c>
      <c r="N24" s="10">
        <v>4</v>
      </c>
      <c r="O24" s="12">
        <v>1</v>
      </c>
      <c r="P24" s="13">
        <f t="shared" si="1"/>
        <v>3.6799808000000005</v>
      </c>
      <c r="Q24" s="14">
        <v>243</v>
      </c>
      <c r="R24" s="14">
        <f t="shared" si="2"/>
        <v>894.23533440000017</v>
      </c>
      <c r="S24" s="22">
        <v>1.3</v>
      </c>
      <c r="T24" s="16">
        <f t="shared" si="3"/>
        <v>2.3799808000000002</v>
      </c>
      <c r="U24" s="14">
        <f t="shared" si="4"/>
        <v>2.1419827200000001</v>
      </c>
      <c r="V24" s="17">
        <f>[1]RM_database!$F$40</f>
        <v>35</v>
      </c>
      <c r="W24" s="18">
        <f t="shared" si="5"/>
        <v>74.969395200000008</v>
      </c>
      <c r="X24" s="14">
        <f t="shared" si="6"/>
        <v>819.26593920000016</v>
      </c>
      <c r="Y24" s="19">
        <v>3000</v>
      </c>
      <c r="Z24" s="20">
        <v>10</v>
      </c>
      <c r="AA24" s="14">
        <f t="shared" si="7"/>
        <v>1</v>
      </c>
      <c r="AB24" s="19">
        <f t="shared" si="8"/>
        <v>39.96</v>
      </c>
      <c r="AC24" s="14">
        <f t="shared" si="9"/>
        <v>75.075075075075077</v>
      </c>
      <c r="AD24" s="14">
        <v>4250</v>
      </c>
      <c r="AE24" s="14">
        <f>VLOOKUP(C24,'[1]CNC Trimming Cycle time'!C:R,16,0)</f>
        <v>30.683017829589048</v>
      </c>
      <c r="AF24" s="14">
        <f t="shared" si="10"/>
        <v>105.75809290466412</v>
      </c>
      <c r="AG24" s="14">
        <f t="shared" si="11"/>
        <v>925.02403210466423</v>
      </c>
      <c r="AH24" s="14">
        <f>X24*[1]Consideration!$C$18</f>
        <v>18.433483632000002</v>
      </c>
      <c r="AI24" s="14">
        <f>X24*[1]Consideration!$C$17</f>
        <v>8.1926593920000013</v>
      </c>
      <c r="AJ24" s="14">
        <f>IFERROR(AF24*[1]Consideration!$C$19,"")</f>
        <v>8.4606474323731309</v>
      </c>
      <c r="AK24" s="14">
        <f>IFERROR(AG24*[1]Consideration!$C$20,"")</f>
        <v>64.751682247326499</v>
      </c>
      <c r="AL24" s="14">
        <f t="shared" si="12"/>
        <v>1024.8625048083638</v>
      </c>
      <c r="AM24" s="20"/>
      <c r="AN24" s="20"/>
      <c r="AO24" s="21"/>
    </row>
    <row r="25" spans="1:42" s="5" customFormat="1" ht="15.75" x14ac:dyDescent="0.25">
      <c r="A25" s="6" t="s">
        <v>74</v>
      </c>
      <c r="B25" s="7">
        <v>3</v>
      </c>
      <c r="C25" s="7" t="s">
        <v>95</v>
      </c>
      <c r="D25" s="7" t="s">
        <v>42</v>
      </c>
      <c r="E25" s="6" t="s">
        <v>96</v>
      </c>
      <c r="F25" s="8">
        <v>1</v>
      </c>
      <c r="G25" s="8">
        <v>1</v>
      </c>
      <c r="H25" s="9">
        <v>599</v>
      </c>
      <c r="I25" s="10">
        <v>427</v>
      </c>
      <c r="J25" s="10">
        <v>19</v>
      </c>
      <c r="K25" s="11">
        <v>3</v>
      </c>
      <c r="L25" s="11">
        <f t="shared" ref="L25:L46" si="16">+H25+40*2+J25*2</f>
        <v>717</v>
      </c>
      <c r="M25" s="11">
        <f t="shared" ref="M25:M46" si="17">+I25+40*2+J25*2</f>
        <v>545</v>
      </c>
      <c r="N25" s="10">
        <v>4</v>
      </c>
      <c r="O25" s="12">
        <v>1</v>
      </c>
      <c r="P25" s="13">
        <f t="shared" si="1"/>
        <v>1.6568436000000002</v>
      </c>
      <c r="Q25" s="14">
        <v>243</v>
      </c>
      <c r="R25" s="14">
        <f t="shared" si="2"/>
        <v>402.61299480000002</v>
      </c>
      <c r="S25" s="22">
        <v>0.80800000000000005</v>
      </c>
      <c r="T25" s="16">
        <f t="shared" si="3"/>
        <v>0.84884360000000014</v>
      </c>
      <c r="U25" s="14">
        <f t="shared" si="4"/>
        <v>0.76395924000000015</v>
      </c>
      <c r="V25" s="17">
        <f>[1]RM_database!$F$40</f>
        <v>35</v>
      </c>
      <c r="W25" s="18">
        <f t="shared" si="5"/>
        <v>26.738573400000007</v>
      </c>
      <c r="X25" s="14">
        <f t="shared" si="6"/>
        <v>375.87442140000002</v>
      </c>
      <c r="Y25" s="19">
        <v>3000</v>
      </c>
      <c r="Z25" s="20">
        <v>10</v>
      </c>
      <c r="AA25" s="14">
        <f t="shared" si="7"/>
        <v>1</v>
      </c>
      <c r="AB25" s="19">
        <f t="shared" si="8"/>
        <v>39.96</v>
      </c>
      <c r="AC25" s="14">
        <f t="shared" si="9"/>
        <v>75.075075075075077</v>
      </c>
      <c r="AD25" s="14">
        <v>4250</v>
      </c>
      <c r="AE25" s="14">
        <f>VLOOKUP(C25,'[1]CNC Trimming Cycle time'!C:R,16,0)</f>
        <v>26.012626343058564</v>
      </c>
      <c r="AF25" s="14">
        <f t="shared" si="10"/>
        <v>101.08770141813363</v>
      </c>
      <c r="AG25" s="14">
        <f t="shared" si="11"/>
        <v>476.96212281813365</v>
      </c>
      <c r="AH25" s="14">
        <f>X25*[1]Consideration!$C$18</f>
        <v>8.457174481500001</v>
      </c>
      <c r="AI25" s="14">
        <f>X25*[1]Consideration!$C$17</f>
        <v>3.758744214</v>
      </c>
      <c r="AJ25" s="14">
        <f>IFERROR(AF25*[1]Consideration!$C$19,"")</f>
        <v>8.0870161134506908</v>
      </c>
      <c r="AK25" s="14">
        <f>IFERROR(AG25*[1]Consideration!$C$20,"")</f>
        <v>33.387348597269359</v>
      </c>
      <c r="AL25" s="14">
        <f t="shared" si="12"/>
        <v>530.65240622435374</v>
      </c>
      <c r="AM25" s="20"/>
      <c r="AN25" s="20"/>
      <c r="AO25" s="21"/>
    </row>
    <row r="26" spans="1:42" s="5" customFormat="1" ht="15.75" x14ac:dyDescent="0.25">
      <c r="A26" s="6" t="s">
        <v>74</v>
      </c>
      <c r="B26" s="7">
        <v>3</v>
      </c>
      <c r="C26" s="7" t="s">
        <v>97</v>
      </c>
      <c r="D26" s="7" t="s">
        <v>42</v>
      </c>
      <c r="E26" s="6" t="s">
        <v>96</v>
      </c>
      <c r="F26" s="8">
        <v>1</v>
      </c>
      <c r="G26" s="8">
        <v>1</v>
      </c>
      <c r="H26" s="9">
        <v>1559</v>
      </c>
      <c r="I26" s="10">
        <v>514</v>
      </c>
      <c r="J26" s="10">
        <v>63</v>
      </c>
      <c r="K26" s="11">
        <v>3</v>
      </c>
      <c r="L26" s="11">
        <f t="shared" si="16"/>
        <v>1765</v>
      </c>
      <c r="M26" s="11">
        <f t="shared" si="17"/>
        <v>720</v>
      </c>
      <c r="N26" s="10">
        <v>4</v>
      </c>
      <c r="O26" s="12">
        <v>1</v>
      </c>
      <c r="P26" s="13">
        <f t="shared" si="1"/>
        <v>5.3881920000000001</v>
      </c>
      <c r="Q26" s="14">
        <v>243</v>
      </c>
      <c r="R26" s="14">
        <f t="shared" si="2"/>
        <v>1309.3306560000001</v>
      </c>
      <c r="S26" s="22">
        <v>2.7890000000000001</v>
      </c>
      <c r="T26" s="16">
        <f t="shared" si="3"/>
        <v>2.5991919999999999</v>
      </c>
      <c r="U26" s="14">
        <f t="shared" si="4"/>
        <v>2.3392727999999998</v>
      </c>
      <c r="V26" s="17">
        <f>[1]RM_database!$F$40</f>
        <v>35</v>
      </c>
      <c r="W26" s="18">
        <f t="shared" si="5"/>
        <v>81.87454799999999</v>
      </c>
      <c r="X26" s="14">
        <f t="shared" si="6"/>
        <v>1227.4561080000001</v>
      </c>
      <c r="Y26" s="19">
        <v>3000</v>
      </c>
      <c r="Z26" s="20">
        <v>10</v>
      </c>
      <c r="AA26" s="14">
        <f t="shared" si="7"/>
        <v>1</v>
      </c>
      <c r="AB26" s="19">
        <f t="shared" si="8"/>
        <v>39.96</v>
      </c>
      <c r="AC26" s="14">
        <f t="shared" si="9"/>
        <v>75.075075075075077</v>
      </c>
      <c r="AD26" s="14">
        <v>4250</v>
      </c>
      <c r="AE26" s="14">
        <f>VLOOKUP(C26,'[1]CNC Trimming Cycle time'!C:R,16,0)</f>
        <v>35.358921784091393</v>
      </c>
      <c r="AF26" s="14">
        <f t="shared" si="10"/>
        <v>110.43399685916647</v>
      </c>
      <c r="AG26" s="14">
        <f t="shared" si="11"/>
        <v>1337.8901048591665</v>
      </c>
      <c r="AH26" s="14">
        <f>X26*[1]Consideration!$C$18</f>
        <v>27.617762430000003</v>
      </c>
      <c r="AI26" s="14">
        <f>X26*[1]Consideration!$C$17</f>
        <v>12.274561080000002</v>
      </c>
      <c r="AJ26" s="14">
        <f>IFERROR(AF26*[1]Consideration!$C$19,"")</f>
        <v>8.8347197487333187</v>
      </c>
      <c r="AK26" s="14">
        <f>IFERROR(AG26*[1]Consideration!$C$20,"")</f>
        <v>93.652307340141661</v>
      </c>
      <c r="AL26" s="14">
        <f t="shared" si="12"/>
        <v>1480.2694554580416</v>
      </c>
      <c r="AM26" s="20"/>
      <c r="AN26" s="20"/>
      <c r="AO26" s="21"/>
    </row>
    <row r="27" spans="1:42" s="5" customFormat="1" ht="15.75" x14ac:dyDescent="0.25">
      <c r="A27" s="6" t="s">
        <v>74</v>
      </c>
      <c r="B27" s="7">
        <v>3</v>
      </c>
      <c r="C27" s="7" t="s">
        <v>98</v>
      </c>
      <c r="D27" s="7" t="s">
        <v>42</v>
      </c>
      <c r="E27" s="6" t="s">
        <v>99</v>
      </c>
      <c r="F27" s="8">
        <v>1</v>
      </c>
      <c r="G27" s="8">
        <v>1</v>
      </c>
      <c r="H27" s="9">
        <v>764</v>
      </c>
      <c r="I27" s="10">
        <v>256</v>
      </c>
      <c r="J27" s="10">
        <v>19</v>
      </c>
      <c r="K27" s="11">
        <v>3</v>
      </c>
      <c r="L27" s="11">
        <f t="shared" si="16"/>
        <v>882</v>
      </c>
      <c r="M27" s="11">
        <f t="shared" si="17"/>
        <v>374</v>
      </c>
      <c r="N27" s="10">
        <v>4</v>
      </c>
      <c r="O27" s="12">
        <v>1</v>
      </c>
      <c r="P27" s="13">
        <f t="shared" si="1"/>
        <v>1.3986403200000002</v>
      </c>
      <c r="Q27" s="14">
        <v>243</v>
      </c>
      <c r="R27" s="14">
        <f t="shared" si="2"/>
        <v>339.86959776000003</v>
      </c>
      <c r="S27" s="22">
        <v>0.71399999999999997</v>
      </c>
      <c r="T27" s="16">
        <f t="shared" si="3"/>
        <v>0.68464032000000019</v>
      </c>
      <c r="U27" s="14">
        <f t="shared" si="4"/>
        <v>0.61617628800000024</v>
      </c>
      <c r="V27" s="17">
        <f>[1]RM_database!$F$40</f>
        <v>35</v>
      </c>
      <c r="W27" s="18">
        <f t="shared" si="5"/>
        <v>21.56617008000001</v>
      </c>
      <c r="X27" s="14">
        <f t="shared" si="6"/>
        <v>318.30342768000003</v>
      </c>
      <c r="Y27" s="19">
        <v>3000</v>
      </c>
      <c r="Z27" s="20">
        <v>10</v>
      </c>
      <c r="AA27" s="14">
        <f t="shared" si="7"/>
        <v>1</v>
      </c>
      <c r="AB27" s="19">
        <f t="shared" si="8"/>
        <v>39.96</v>
      </c>
      <c r="AC27" s="14">
        <f t="shared" si="9"/>
        <v>75.075075075075077</v>
      </c>
      <c r="AD27" s="14">
        <v>4250</v>
      </c>
      <c r="AE27" s="14">
        <f>VLOOKUP(C27,'[1]CNC Trimming Cycle time'!C:R,16,0)</f>
        <v>25.959065910731727</v>
      </c>
      <c r="AF27" s="14">
        <f t="shared" si="10"/>
        <v>101.0341409858068</v>
      </c>
      <c r="AG27" s="14">
        <f t="shared" si="11"/>
        <v>419.33756866580683</v>
      </c>
      <c r="AH27" s="14">
        <f>X27*[1]Consideration!$C$18</f>
        <v>7.1618271228000001</v>
      </c>
      <c r="AI27" s="14">
        <f>X27*[1]Consideration!$C$17</f>
        <v>3.1830342768000004</v>
      </c>
      <c r="AJ27" s="14">
        <f>IFERROR(AF27*[1]Consideration!$C$19,"")</f>
        <v>8.0827312788645447</v>
      </c>
      <c r="AK27" s="14">
        <f>IFERROR(AG27*[1]Consideration!$C$20,"")</f>
        <v>29.353629806606481</v>
      </c>
      <c r="AL27" s="14">
        <f t="shared" si="12"/>
        <v>467.11879115087788</v>
      </c>
      <c r="AM27" s="20"/>
      <c r="AN27" s="20"/>
      <c r="AO27" s="21"/>
    </row>
    <row r="28" spans="1:42" s="5" customFormat="1" ht="15.75" x14ac:dyDescent="0.25">
      <c r="A28" s="6" t="s">
        <v>74</v>
      </c>
      <c r="B28" s="7">
        <v>3</v>
      </c>
      <c r="C28" s="7" t="s">
        <v>100</v>
      </c>
      <c r="D28" s="7" t="s">
        <v>42</v>
      </c>
      <c r="E28" s="6" t="s">
        <v>101</v>
      </c>
      <c r="F28" s="8">
        <v>1</v>
      </c>
      <c r="G28" s="8">
        <v>1</v>
      </c>
      <c r="H28" s="9">
        <v>575</v>
      </c>
      <c r="I28" s="10">
        <v>475</v>
      </c>
      <c r="J28" s="10">
        <v>47</v>
      </c>
      <c r="K28" s="11">
        <v>3</v>
      </c>
      <c r="L28" s="11">
        <f t="shared" si="16"/>
        <v>749</v>
      </c>
      <c r="M28" s="11">
        <f t="shared" si="17"/>
        <v>649</v>
      </c>
      <c r="N28" s="10">
        <v>4</v>
      </c>
      <c r="O28" s="12">
        <v>1</v>
      </c>
      <c r="P28" s="13">
        <f t="shared" si="1"/>
        <v>2.06106824</v>
      </c>
      <c r="Q28" s="14">
        <v>243</v>
      </c>
      <c r="R28" s="14">
        <f t="shared" si="2"/>
        <v>500.83958231999998</v>
      </c>
      <c r="S28" s="22">
        <v>0.80800000000000005</v>
      </c>
      <c r="T28" s="16">
        <f t="shared" si="3"/>
        <v>1.2530682399999999</v>
      </c>
      <c r="U28" s="14">
        <f t="shared" si="4"/>
        <v>1.127761416</v>
      </c>
      <c r="V28" s="17">
        <f>[1]RM_database!$F$40</f>
        <v>35</v>
      </c>
      <c r="W28" s="18">
        <f t="shared" si="5"/>
        <v>39.471649560000003</v>
      </c>
      <c r="X28" s="14">
        <f t="shared" si="6"/>
        <v>461.36793275999997</v>
      </c>
      <c r="Y28" s="19">
        <v>3000</v>
      </c>
      <c r="Z28" s="20">
        <v>10</v>
      </c>
      <c r="AA28" s="14">
        <f t="shared" si="7"/>
        <v>1</v>
      </c>
      <c r="AB28" s="19">
        <f t="shared" si="8"/>
        <v>39.96</v>
      </c>
      <c r="AC28" s="14">
        <f t="shared" si="9"/>
        <v>75.075075075075077</v>
      </c>
      <c r="AD28" s="14">
        <v>4250</v>
      </c>
      <c r="AE28" s="14">
        <f>VLOOKUP(C28,'[1]CNC Trimming Cycle time'!C:R,16,0)</f>
        <v>30.668578622896053</v>
      </c>
      <c r="AF28" s="14">
        <f t="shared" si="10"/>
        <v>105.74365369797113</v>
      </c>
      <c r="AG28" s="14">
        <f t="shared" si="11"/>
        <v>567.11158645797104</v>
      </c>
      <c r="AH28" s="14">
        <f>X28*[1]Consideration!$C$18</f>
        <v>10.380778487099999</v>
      </c>
      <c r="AI28" s="14">
        <f>X28*[1]Consideration!$C$17</f>
        <v>4.6136793275999999</v>
      </c>
      <c r="AJ28" s="14">
        <f>IFERROR(AF28*[1]Consideration!$C$19,"")</f>
        <v>8.4594922958376895</v>
      </c>
      <c r="AK28" s="14">
        <f>IFERROR(AG28*[1]Consideration!$C$20,"")</f>
        <v>39.697811052057979</v>
      </c>
      <c r="AL28" s="14">
        <f t="shared" si="12"/>
        <v>630.26334762056672</v>
      </c>
      <c r="AM28" s="20"/>
      <c r="AN28" s="20"/>
      <c r="AO28" s="21"/>
    </row>
    <row r="29" spans="1:42" s="5" customFormat="1" ht="15.75" x14ac:dyDescent="0.25">
      <c r="A29" s="6" t="s">
        <v>74</v>
      </c>
      <c r="B29" s="7">
        <v>3</v>
      </c>
      <c r="C29" s="7" t="s">
        <v>102</v>
      </c>
      <c r="D29" s="7" t="s">
        <v>42</v>
      </c>
      <c r="E29" s="6" t="s">
        <v>103</v>
      </c>
      <c r="F29" s="8">
        <v>1</v>
      </c>
      <c r="G29" s="8">
        <v>1</v>
      </c>
      <c r="H29" s="9">
        <v>1206</v>
      </c>
      <c r="I29" s="10">
        <v>93</v>
      </c>
      <c r="J29" s="10">
        <v>33</v>
      </c>
      <c r="K29" s="11">
        <v>3</v>
      </c>
      <c r="L29" s="11">
        <f t="shared" si="16"/>
        <v>1352</v>
      </c>
      <c r="M29" s="11">
        <f t="shared" si="17"/>
        <v>239</v>
      </c>
      <c r="N29" s="10">
        <v>4</v>
      </c>
      <c r="O29" s="12">
        <v>1</v>
      </c>
      <c r="P29" s="13">
        <f t="shared" si="1"/>
        <v>1.37006272</v>
      </c>
      <c r="Q29" s="14">
        <v>243</v>
      </c>
      <c r="R29" s="14">
        <f t="shared" si="2"/>
        <v>332.92524096</v>
      </c>
      <c r="S29" s="22">
        <v>0.38900000000000001</v>
      </c>
      <c r="T29" s="16">
        <f t="shared" si="3"/>
        <v>0.98106271999999994</v>
      </c>
      <c r="U29" s="14">
        <f t="shared" si="4"/>
        <v>0.88295644799999995</v>
      </c>
      <c r="V29" s="17">
        <f>[1]RM_database!$F$40</f>
        <v>35</v>
      </c>
      <c r="W29" s="18">
        <f t="shared" si="5"/>
        <v>30.90347568</v>
      </c>
      <c r="X29" s="14">
        <f t="shared" si="6"/>
        <v>302.02176528000001</v>
      </c>
      <c r="Y29" s="19">
        <v>3000</v>
      </c>
      <c r="Z29" s="20">
        <v>10</v>
      </c>
      <c r="AA29" s="14">
        <f t="shared" si="7"/>
        <v>1</v>
      </c>
      <c r="AB29" s="19">
        <f t="shared" si="8"/>
        <v>39.96</v>
      </c>
      <c r="AC29" s="14">
        <f t="shared" si="9"/>
        <v>75.075075075075077</v>
      </c>
      <c r="AD29" s="14">
        <v>4250</v>
      </c>
      <c r="AE29" s="14">
        <f>VLOOKUP(C29,'[1]CNC Trimming Cycle time'!C:R,16,0)</f>
        <v>30.5206293972339</v>
      </c>
      <c r="AF29" s="14">
        <f t="shared" si="10"/>
        <v>105.59570447230898</v>
      </c>
      <c r="AG29" s="14">
        <f t="shared" si="11"/>
        <v>407.61746975230898</v>
      </c>
      <c r="AH29" s="14">
        <f>X29*[1]Consideration!$C$18</f>
        <v>6.7954897187999999</v>
      </c>
      <c r="AI29" s="14">
        <f>X29*[1]Consideration!$C$17</f>
        <v>3.0202176528</v>
      </c>
      <c r="AJ29" s="14">
        <f>IFERROR(AF29*[1]Consideration!$C$19,"")</f>
        <v>8.4476563577847195</v>
      </c>
      <c r="AK29" s="14">
        <f>IFERROR(AG29*[1]Consideration!$C$20,"")</f>
        <v>28.533222882661629</v>
      </c>
      <c r="AL29" s="14">
        <f t="shared" si="12"/>
        <v>454.4140563643553</v>
      </c>
      <c r="AM29" s="20"/>
      <c r="AN29" s="20"/>
      <c r="AO29" s="21"/>
    </row>
    <row r="30" spans="1:42" s="5" customFormat="1" ht="15.75" x14ac:dyDescent="0.25">
      <c r="A30" s="6" t="s">
        <v>74</v>
      </c>
      <c r="B30" s="7">
        <v>3</v>
      </c>
      <c r="C30" s="7" t="s">
        <v>104</v>
      </c>
      <c r="D30" s="7" t="s">
        <v>42</v>
      </c>
      <c r="E30" s="6" t="s">
        <v>105</v>
      </c>
      <c r="F30" s="8">
        <v>1</v>
      </c>
      <c r="G30" s="8">
        <v>1</v>
      </c>
      <c r="H30" s="9">
        <v>958</v>
      </c>
      <c r="I30" s="10">
        <v>164</v>
      </c>
      <c r="J30" s="10">
        <v>19</v>
      </c>
      <c r="K30" s="11">
        <v>3</v>
      </c>
      <c r="L30" s="11">
        <f t="shared" si="16"/>
        <v>1076</v>
      </c>
      <c r="M30" s="11">
        <f t="shared" si="17"/>
        <v>282</v>
      </c>
      <c r="N30" s="10">
        <v>4</v>
      </c>
      <c r="O30" s="12">
        <v>1</v>
      </c>
      <c r="P30" s="13">
        <f t="shared" si="1"/>
        <v>1.2865516800000001</v>
      </c>
      <c r="Q30" s="14">
        <v>243</v>
      </c>
      <c r="R30" s="14">
        <f t="shared" si="2"/>
        <v>312.63205824000005</v>
      </c>
      <c r="S30" s="15">
        <v>0.53900000000000003</v>
      </c>
      <c r="T30" s="16">
        <f t="shared" si="3"/>
        <v>0.74755168000000005</v>
      </c>
      <c r="U30" s="14">
        <f t="shared" si="4"/>
        <v>0.67279651200000001</v>
      </c>
      <c r="V30" s="17">
        <f>[1]RM_database!$F$40</f>
        <v>35</v>
      </c>
      <c r="W30" s="18">
        <f t="shared" si="5"/>
        <v>23.547877920000001</v>
      </c>
      <c r="X30" s="14">
        <f t="shared" si="6"/>
        <v>289.08418032000003</v>
      </c>
      <c r="Y30" s="19">
        <v>3000</v>
      </c>
      <c r="Z30" s="20">
        <v>10</v>
      </c>
      <c r="AA30" s="14">
        <f t="shared" si="7"/>
        <v>1</v>
      </c>
      <c r="AB30" s="19">
        <f t="shared" si="8"/>
        <v>39.96</v>
      </c>
      <c r="AC30" s="14">
        <f t="shared" si="9"/>
        <v>75.075075075075077</v>
      </c>
      <c r="AD30" s="14">
        <v>4250</v>
      </c>
      <c r="AE30" s="14">
        <f>VLOOKUP(C30,'[1]CNC Trimming Cycle time'!C:R,16,0)</f>
        <v>26.162673765943289</v>
      </c>
      <c r="AF30" s="14">
        <v>1</v>
      </c>
      <c r="AG30" s="14">
        <f t="shared" si="11"/>
        <v>290.08418032000003</v>
      </c>
      <c r="AH30" s="14">
        <f>X30*[1]Consideration!$C$18</f>
        <v>6.5043940572000007</v>
      </c>
      <c r="AI30" s="14">
        <f>X30*[1]Consideration!$C$17</f>
        <v>2.8908418032000003</v>
      </c>
      <c r="AJ30" s="14">
        <f>IFERROR(AF30*[1]Consideration!$C$19,"")</f>
        <v>0.08</v>
      </c>
      <c r="AK30" s="14">
        <f>IFERROR(AG30*[1]Consideration!$C$20,"")</f>
        <v>20.305892622400005</v>
      </c>
      <c r="AL30" s="14">
        <f t="shared" si="12"/>
        <v>319.86530880279997</v>
      </c>
      <c r="AM30" s="20"/>
      <c r="AN30" s="20"/>
      <c r="AO30" s="21"/>
    </row>
    <row r="31" spans="1:42" s="5" customFormat="1" ht="15.75" x14ac:dyDescent="0.25">
      <c r="A31" s="6" t="s">
        <v>74</v>
      </c>
      <c r="B31" s="7">
        <v>3</v>
      </c>
      <c r="C31" s="7" t="s">
        <v>106</v>
      </c>
      <c r="D31" s="7" t="s">
        <v>42</v>
      </c>
      <c r="E31" s="6" t="s">
        <v>107</v>
      </c>
      <c r="F31" s="8">
        <v>1</v>
      </c>
      <c r="G31" s="8">
        <v>1</v>
      </c>
      <c r="H31" s="9">
        <v>694</v>
      </c>
      <c r="I31" s="10">
        <v>514</v>
      </c>
      <c r="J31" s="10">
        <v>63</v>
      </c>
      <c r="K31" s="11">
        <v>3</v>
      </c>
      <c r="L31" s="11">
        <f t="shared" si="16"/>
        <v>900</v>
      </c>
      <c r="M31" s="11">
        <f t="shared" si="17"/>
        <v>720</v>
      </c>
      <c r="N31" s="10">
        <v>4</v>
      </c>
      <c r="O31" s="12">
        <v>1</v>
      </c>
      <c r="P31" s="13">
        <f t="shared" si="1"/>
        <v>2.7475200000000002</v>
      </c>
      <c r="Q31" s="14">
        <v>243</v>
      </c>
      <c r="R31" s="14">
        <f t="shared" si="2"/>
        <v>667.64736000000005</v>
      </c>
      <c r="S31" s="15">
        <v>1.242</v>
      </c>
      <c r="T31" s="16">
        <f t="shared" si="3"/>
        <v>1.5055200000000002</v>
      </c>
      <c r="U31" s="14">
        <f t="shared" si="4"/>
        <v>1.3549680000000002</v>
      </c>
      <c r="V31" s="17">
        <f>[1]RM_database!$F$40</f>
        <v>35</v>
      </c>
      <c r="W31" s="18">
        <f t="shared" si="5"/>
        <v>47.423880000000004</v>
      </c>
      <c r="X31" s="14">
        <f t="shared" si="6"/>
        <v>620.22348</v>
      </c>
      <c r="Y31" s="19">
        <v>3000</v>
      </c>
      <c r="Z31" s="20">
        <v>10</v>
      </c>
      <c r="AA31" s="14">
        <f t="shared" si="7"/>
        <v>1</v>
      </c>
      <c r="AB31" s="19">
        <f t="shared" si="8"/>
        <v>39.96</v>
      </c>
      <c r="AC31" s="14">
        <f t="shared" si="9"/>
        <v>75.075075075075077</v>
      </c>
      <c r="AD31" s="14">
        <v>4250</v>
      </c>
      <c r="AE31" s="14">
        <f>VLOOKUP(C31,'[1]CNC Trimming Cycle time'!C:R,16,0)</f>
        <v>27.037494160614941</v>
      </c>
      <c r="AF31" s="14">
        <f t="shared" si="10"/>
        <v>102.11256923569002</v>
      </c>
      <c r="AG31" s="14">
        <f t="shared" si="11"/>
        <v>722.33604923568998</v>
      </c>
      <c r="AH31" s="14">
        <f>X31*[1]Consideration!$C$18</f>
        <v>13.955028299999999</v>
      </c>
      <c r="AI31" s="14">
        <f>X31*[1]Consideration!$C$17</f>
        <v>6.2022348000000003</v>
      </c>
      <c r="AJ31" s="14">
        <f>IFERROR(AF31*[1]Consideration!$C$19,"")</f>
        <v>8.1690055388552008</v>
      </c>
      <c r="AK31" s="14">
        <f>IFERROR(AG31*[1]Consideration!$C$20,"")</f>
        <v>50.563523446498301</v>
      </c>
      <c r="AL31" s="14">
        <f t="shared" si="12"/>
        <v>801.2258413210435</v>
      </c>
      <c r="AM31" s="20"/>
      <c r="AN31" s="20"/>
      <c r="AO31" s="21"/>
    </row>
    <row r="32" spans="1:42" s="5" customFormat="1" ht="15.75" x14ac:dyDescent="0.25">
      <c r="A32" s="6" t="s">
        <v>74</v>
      </c>
      <c r="B32" s="7">
        <v>3</v>
      </c>
      <c r="C32" s="7" t="s">
        <v>108</v>
      </c>
      <c r="D32" s="7" t="s">
        <v>42</v>
      </c>
      <c r="E32" s="6" t="s">
        <v>109</v>
      </c>
      <c r="F32" s="8">
        <v>1</v>
      </c>
      <c r="G32" s="8">
        <v>1</v>
      </c>
      <c r="H32" s="9">
        <v>668</v>
      </c>
      <c r="I32" s="10">
        <v>338</v>
      </c>
      <c r="J32" s="10">
        <v>16</v>
      </c>
      <c r="K32" s="11">
        <v>3</v>
      </c>
      <c r="L32" s="11">
        <f t="shared" si="16"/>
        <v>780</v>
      </c>
      <c r="M32" s="11">
        <f t="shared" si="17"/>
        <v>450</v>
      </c>
      <c r="N32" s="10">
        <v>4</v>
      </c>
      <c r="O32" s="12">
        <v>1</v>
      </c>
      <c r="P32" s="13">
        <f t="shared" si="1"/>
        <v>1.48824</v>
      </c>
      <c r="Q32" s="14">
        <v>243</v>
      </c>
      <c r="R32" s="14">
        <f t="shared" si="2"/>
        <v>361.64231999999998</v>
      </c>
      <c r="S32" s="15">
        <v>0.7</v>
      </c>
      <c r="T32" s="16">
        <f t="shared" si="3"/>
        <v>0.78824000000000005</v>
      </c>
      <c r="U32" s="14">
        <f t="shared" si="4"/>
        <v>0.70941600000000005</v>
      </c>
      <c r="V32" s="17">
        <f>[1]RM_database!$F$40</f>
        <v>35</v>
      </c>
      <c r="W32" s="18">
        <f t="shared" si="5"/>
        <v>24.829560000000001</v>
      </c>
      <c r="X32" s="14">
        <f t="shared" si="6"/>
        <v>336.81275999999997</v>
      </c>
      <c r="Y32" s="19">
        <v>3000</v>
      </c>
      <c r="Z32" s="20">
        <v>10</v>
      </c>
      <c r="AA32" s="14">
        <f t="shared" si="7"/>
        <v>1</v>
      </c>
      <c r="AB32" s="19">
        <f t="shared" si="8"/>
        <v>39.96</v>
      </c>
      <c r="AC32" s="14">
        <f t="shared" si="9"/>
        <v>75.075075075075077</v>
      </c>
      <c r="AD32" s="14">
        <v>4250</v>
      </c>
      <c r="AE32" s="14">
        <f>VLOOKUP(C32,'[1]CNC Trimming Cycle time'!C:R,16,0)</f>
        <v>25.127172074291135</v>
      </c>
      <c r="AF32" s="14">
        <f t="shared" si="10"/>
        <v>100.20224714936622</v>
      </c>
      <c r="AG32" s="14">
        <f t="shared" si="11"/>
        <v>437.01500714936617</v>
      </c>
      <c r="AH32" s="14">
        <f>X32*[1]Consideration!$C$18</f>
        <v>7.5782870999999989</v>
      </c>
      <c r="AI32" s="14">
        <f>X32*[1]Consideration!$C$17</f>
        <v>3.3681275999999998</v>
      </c>
      <c r="AJ32" s="14">
        <f>IFERROR(AF32*[1]Consideration!$C$19,"")</f>
        <v>8.0161797719492967</v>
      </c>
      <c r="AK32" s="14">
        <f>IFERROR(AG32*[1]Consideration!$C$20,"")</f>
        <v>30.591050500455633</v>
      </c>
      <c r="AL32" s="14">
        <f t="shared" si="12"/>
        <v>486.56865212177109</v>
      </c>
      <c r="AM32" s="20"/>
      <c r="AN32" s="20"/>
      <c r="AO32" s="21"/>
    </row>
    <row r="33" spans="1:41" s="5" customFormat="1" ht="15.75" x14ac:dyDescent="0.25">
      <c r="A33" s="6" t="s">
        <v>74</v>
      </c>
      <c r="B33" s="7">
        <v>3</v>
      </c>
      <c r="C33" s="7" t="s">
        <v>110</v>
      </c>
      <c r="D33" s="7" t="s">
        <v>42</v>
      </c>
      <c r="E33" s="6" t="s">
        <v>111</v>
      </c>
      <c r="F33" s="8">
        <v>1</v>
      </c>
      <c r="G33" s="8">
        <v>1</v>
      </c>
      <c r="H33" s="9">
        <v>1084</v>
      </c>
      <c r="I33" s="10">
        <v>92</v>
      </c>
      <c r="J33" s="10">
        <v>109</v>
      </c>
      <c r="K33" s="11">
        <v>3</v>
      </c>
      <c r="L33" s="11">
        <f t="shared" si="16"/>
        <v>1382</v>
      </c>
      <c r="M33" s="11">
        <f t="shared" si="17"/>
        <v>390</v>
      </c>
      <c r="N33" s="10">
        <v>4</v>
      </c>
      <c r="O33" s="12">
        <v>1</v>
      </c>
      <c r="P33" s="13">
        <f t="shared" si="1"/>
        <v>2.2852752000000001</v>
      </c>
      <c r="Q33" s="14">
        <v>243</v>
      </c>
      <c r="R33" s="14">
        <f t="shared" si="2"/>
        <v>555.3218736</v>
      </c>
      <c r="S33" s="15">
        <v>0.5</v>
      </c>
      <c r="T33" s="16">
        <f t="shared" si="3"/>
        <v>1.7852752000000001</v>
      </c>
      <c r="U33" s="14">
        <f t="shared" si="4"/>
        <v>1.60674768</v>
      </c>
      <c r="V33" s="17">
        <f>[1]RM_database!$F$40</f>
        <v>35</v>
      </c>
      <c r="W33" s="18">
        <f t="shared" si="5"/>
        <v>56.236168800000002</v>
      </c>
      <c r="X33" s="14">
        <f t="shared" si="6"/>
        <v>499.08570480000003</v>
      </c>
      <c r="Y33" s="19">
        <v>3000</v>
      </c>
      <c r="Z33" s="20">
        <v>10</v>
      </c>
      <c r="AA33" s="14">
        <f t="shared" si="7"/>
        <v>1</v>
      </c>
      <c r="AB33" s="19">
        <f t="shared" si="8"/>
        <v>39.96</v>
      </c>
      <c r="AC33" s="14">
        <f t="shared" si="9"/>
        <v>75.075075075075077</v>
      </c>
      <c r="AD33" s="14">
        <v>4250</v>
      </c>
      <c r="AE33" s="14">
        <f>VLOOKUP(C33,'[1]CNC Trimming Cycle time'!C:R,16,0)</f>
        <v>27.351637151229458</v>
      </c>
      <c r="AF33" s="14">
        <f t="shared" si="10"/>
        <v>102.42671222630453</v>
      </c>
      <c r="AG33" s="14">
        <f t="shared" si="11"/>
        <v>601.51241702630455</v>
      </c>
      <c r="AH33" s="14">
        <f>X33*[1]Consideration!$C$18</f>
        <v>11.229428358</v>
      </c>
      <c r="AI33" s="14">
        <f>X33*[1]Consideration!$C$17</f>
        <v>4.9908570480000005</v>
      </c>
      <c r="AJ33" s="14">
        <f>IFERROR(AF33*[1]Consideration!$C$19,"")</f>
        <v>8.1941369781043623</v>
      </c>
      <c r="AK33" s="14">
        <f>IFERROR(AG33*[1]Consideration!$C$20,"")</f>
        <v>42.105869191841322</v>
      </c>
      <c r="AL33" s="14">
        <f t="shared" si="12"/>
        <v>668.03270860225007</v>
      </c>
      <c r="AM33" s="20"/>
      <c r="AN33" s="20"/>
      <c r="AO33" s="21"/>
    </row>
    <row r="34" spans="1:41" s="5" customFormat="1" ht="15.75" x14ac:dyDescent="0.25">
      <c r="A34" s="6" t="s">
        <v>47</v>
      </c>
      <c r="B34" s="7">
        <v>3</v>
      </c>
      <c r="C34" s="7" t="s">
        <v>112</v>
      </c>
      <c r="D34" s="7" t="s">
        <v>42</v>
      </c>
      <c r="E34" s="6" t="s">
        <v>113</v>
      </c>
      <c r="F34" s="8">
        <v>1</v>
      </c>
      <c r="G34" s="8">
        <v>1</v>
      </c>
      <c r="H34" s="9">
        <v>501</v>
      </c>
      <c r="I34" s="10">
        <v>45</v>
      </c>
      <c r="J34" s="10">
        <v>18</v>
      </c>
      <c r="K34" s="11">
        <v>3</v>
      </c>
      <c r="L34" s="11">
        <f t="shared" si="16"/>
        <v>617</v>
      </c>
      <c r="M34" s="11">
        <f t="shared" si="17"/>
        <v>161</v>
      </c>
      <c r="N34" s="10">
        <v>4</v>
      </c>
      <c r="O34" s="12">
        <v>1</v>
      </c>
      <c r="P34" s="13">
        <f t="shared" si="1"/>
        <v>0.42118887999999999</v>
      </c>
      <c r="Q34" s="14">
        <v>243</v>
      </c>
      <c r="R34" s="14">
        <f t="shared" si="2"/>
        <v>102.34889783999999</v>
      </c>
      <c r="S34" s="15">
        <v>0.09</v>
      </c>
      <c r="T34" s="16">
        <f t="shared" si="3"/>
        <v>0.33118888000000002</v>
      </c>
      <c r="U34" s="14">
        <f t="shared" si="4"/>
        <v>0.29806999200000001</v>
      </c>
      <c r="V34" s="17">
        <f>[1]RM_database!$F$40</f>
        <v>35</v>
      </c>
      <c r="W34" s="18">
        <f t="shared" si="5"/>
        <v>10.432449720000001</v>
      </c>
      <c r="X34" s="14">
        <f t="shared" si="6"/>
        <v>91.916448119999984</v>
      </c>
      <c r="Y34" s="19">
        <v>3000</v>
      </c>
      <c r="Z34" s="20">
        <v>10</v>
      </c>
      <c r="AA34" s="14">
        <f t="shared" si="7"/>
        <v>1</v>
      </c>
      <c r="AB34" s="19">
        <f t="shared" si="8"/>
        <v>39.96</v>
      </c>
      <c r="AC34" s="14">
        <f t="shared" si="9"/>
        <v>75.075075075075077</v>
      </c>
      <c r="AD34" s="14">
        <v>4250</v>
      </c>
      <c r="AE34" s="14">
        <f>VLOOKUP(C34,'[1]CNC Trimming Cycle time'!C:R,16,0)</f>
        <v>21.154773343384157</v>
      </c>
      <c r="AF34" s="14">
        <f t="shared" si="10"/>
        <v>96.229848418459227</v>
      </c>
      <c r="AG34" s="14">
        <f t="shared" si="11"/>
        <v>188.14629653845921</v>
      </c>
      <c r="AH34" s="14">
        <f>X34*[1]Consideration!$C$18</f>
        <v>2.0681200826999997</v>
      </c>
      <c r="AI34" s="14">
        <f>X34*[1]Consideration!$C$17</f>
        <v>0.91916448119999983</v>
      </c>
      <c r="AJ34" s="14">
        <f>IFERROR(AF34*[1]Consideration!$C$19,"")</f>
        <v>7.6983878734767384</v>
      </c>
      <c r="AK34" s="14">
        <f>IFERROR(AG34*[1]Consideration!$C$20,"")</f>
        <v>13.170240757692145</v>
      </c>
      <c r="AL34" s="14">
        <f t="shared" si="12"/>
        <v>212.0022097335281</v>
      </c>
      <c r="AM34" s="20"/>
      <c r="AN34" s="20"/>
      <c r="AO34" s="21"/>
    </row>
    <row r="35" spans="1:41" s="5" customFormat="1" ht="15.75" x14ac:dyDescent="0.25">
      <c r="A35" s="6" t="s">
        <v>47</v>
      </c>
      <c r="B35" s="7">
        <v>3</v>
      </c>
      <c r="C35" s="7" t="s">
        <v>114</v>
      </c>
      <c r="D35" s="7" t="s">
        <v>42</v>
      </c>
      <c r="E35" s="6" t="s">
        <v>115</v>
      </c>
      <c r="F35" s="8">
        <v>1</v>
      </c>
      <c r="G35" s="8">
        <v>1</v>
      </c>
      <c r="H35" s="9">
        <v>504</v>
      </c>
      <c r="I35" s="10">
        <v>47</v>
      </c>
      <c r="J35" s="10">
        <v>18</v>
      </c>
      <c r="K35" s="11">
        <v>3</v>
      </c>
      <c r="L35" s="11">
        <f t="shared" si="16"/>
        <v>620</v>
      </c>
      <c r="M35" s="11">
        <f t="shared" si="17"/>
        <v>163</v>
      </c>
      <c r="N35" s="10">
        <v>4</v>
      </c>
      <c r="O35" s="12">
        <v>1</v>
      </c>
      <c r="P35" s="13">
        <f t="shared" si="1"/>
        <v>0.4284944</v>
      </c>
      <c r="Q35" s="14">
        <v>243</v>
      </c>
      <c r="R35" s="14">
        <f t="shared" si="2"/>
        <v>104.1241392</v>
      </c>
      <c r="S35" s="15">
        <v>9.5000000000000001E-2</v>
      </c>
      <c r="T35" s="16">
        <f t="shared" si="3"/>
        <v>0.33349439999999997</v>
      </c>
      <c r="U35" s="14">
        <f t="shared" si="4"/>
        <v>0.30014495999999996</v>
      </c>
      <c r="V35" s="17">
        <f>[1]RM_database!$F$40</f>
        <v>35</v>
      </c>
      <c r="W35" s="18">
        <f t="shared" si="5"/>
        <v>10.505073599999999</v>
      </c>
      <c r="X35" s="14">
        <f t="shared" si="6"/>
        <v>93.619065599999999</v>
      </c>
      <c r="Y35" s="19">
        <v>3000</v>
      </c>
      <c r="Z35" s="20">
        <v>10</v>
      </c>
      <c r="AA35" s="14">
        <f t="shared" si="7"/>
        <v>1</v>
      </c>
      <c r="AB35" s="19">
        <f t="shared" si="8"/>
        <v>39.96</v>
      </c>
      <c r="AC35" s="14">
        <f t="shared" si="9"/>
        <v>75.075075075075077</v>
      </c>
      <c r="AD35" s="14">
        <v>4250</v>
      </c>
      <c r="AE35" s="14">
        <f>VLOOKUP(C35,'[1]CNC Trimming Cycle time'!C:R,16,0)</f>
        <v>21.154773343384157</v>
      </c>
      <c r="AF35" s="14">
        <f t="shared" si="10"/>
        <v>96.229848418459227</v>
      </c>
      <c r="AG35" s="14">
        <f t="shared" si="11"/>
        <v>189.84891401845923</v>
      </c>
      <c r="AH35" s="14">
        <f>X35*[1]Consideration!$C$18</f>
        <v>2.1064289760000001</v>
      </c>
      <c r="AI35" s="14">
        <f>X35*[1]Consideration!$C$17</f>
        <v>0.93619065599999995</v>
      </c>
      <c r="AJ35" s="14">
        <f>IFERROR(AF35*[1]Consideration!$C$19,"")</f>
        <v>7.6983878734767384</v>
      </c>
      <c r="AK35" s="14">
        <f>IFERROR(AG35*[1]Consideration!$C$20,"")</f>
        <v>13.289423981292147</v>
      </c>
      <c r="AL35" s="14">
        <f t="shared" si="12"/>
        <v>213.87934550522812</v>
      </c>
      <c r="AM35" s="20"/>
      <c r="AN35" s="20"/>
      <c r="AO35" s="21"/>
    </row>
    <row r="36" spans="1:41" s="5" customFormat="1" ht="15.75" x14ac:dyDescent="0.25">
      <c r="A36" s="6" t="s">
        <v>47</v>
      </c>
      <c r="B36" s="7">
        <v>3</v>
      </c>
      <c r="C36" s="7" t="s">
        <v>116</v>
      </c>
      <c r="D36" s="7" t="s">
        <v>42</v>
      </c>
      <c r="E36" s="6" t="s">
        <v>117</v>
      </c>
      <c r="F36" s="8">
        <v>1</v>
      </c>
      <c r="G36" s="8">
        <v>1</v>
      </c>
      <c r="H36" s="9">
        <v>698</v>
      </c>
      <c r="I36" s="10">
        <v>599</v>
      </c>
      <c r="J36" s="10">
        <v>17</v>
      </c>
      <c r="K36" s="11">
        <v>3</v>
      </c>
      <c r="L36" s="11">
        <f t="shared" si="16"/>
        <v>812</v>
      </c>
      <c r="M36" s="11">
        <f t="shared" si="17"/>
        <v>713</v>
      </c>
      <c r="N36" s="10">
        <v>4</v>
      </c>
      <c r="O36" s="12">
        <v>1</v>
      </c>
      <c r="P36" s="13">
        <f t="shared" si="1"/>
        <v>2.4547734399999999</v>
      </c>
      <c r="Q36" s="14">
        <v>243</v>
      </c>
      <c r="R36" s="14">
        <f t="shared" si="2"/>
        <v>596.50994591999995</v>
      </c>
      <c r="S36" s="15">
        <v>1.4</v>
      </c>
      <c r="T36" s="16">
        <f t="shared" si="3"/>
        <v>1.05477344</v>
      </c>
      <c r="U36" s="14">
        <f t="shared" si="4"/>
        <v>0.94929609599999998</v>
      </c>
      <c r="V36" s="17">
        <f>[1]RM_database!$F$40</f>
        <v>35</v>
      </c>
      <c r="W36" s="18">
        <f t="shared" si="5"/>
        <v>33.225363359999996</v>
      </c>
      <c r="X36" s="14">
        <f t="shared" si="6"/>
        <v>563.28458255999999</v>
      </c>
      <c r="Y36" s="19">
        <v>3000</v>
      </c>
      <c r="Z36" s="20">
        <v>10</v>
      </c>
      <c r="AA36" s="14">
        <f t="shared" si="7"/>
        <v>1</v>
      </c>
      <c r="AB36" s="19">
        <f t="shared" si="8"/>
        <v>39.96</v>
      </c>
      <c r="AC36" s="14">
        <f t="shared" si="9"/>
        <v>75.075075075075077</v>
      </c>
      <c r="AD36" s="14">
        <v>4250</v>
      </c>
      <c r="AE36" s="14">
        <f>VLOOKUP(C36,'[1]CNC Trimming Cycle time'!C:R,16,0)</f>
        <v>27.751633258306086</v>
      </c>
      <c r="AF36" s="14">
        <f t="shared" si="10"/>
        <v>102.82670833338116</v>
      </c>
      <c r="AG36" s="14">
        <f t="shared" si="11"/>
        <v>666.11129089338112</v>
      </c>
      <c r="AH36" s="14">
        <f>X36*[1]Consideration!$C$18</f>
        <v>12.673903107599999</v>
      </c>
      <c r="AI36" s="14">
        <f>X36*[1]Consideration!$C$17</f>
        <v>5.6328458255999996</v>
      </c>
      <c r="AJ36" s="14">
        <f>IFERROR(AF36*[1]Consideration!$C$19,"")</f>
        <v>8.2261366666704934</v>
      </c>
      <c r="AK36" s="14">
        <f>IFERROR(AG36*[1]Consideration!$C$20,"")</f>
        <v>46.627790362536686</v>
      </c>
      <c r="AL36" s="14">
        <f t="shared" si="12"/>
        <v>739.27196685578838</v>
      </c>
      <c r="AM36" s="20"/>
      <c r="AN36" s="20"/>
      <c r="AO36" s="21"/>
    </row>
    <row r="37" spans="1:41" s="5" customFormat="1" ht="15.75" x14ac:dyDescent="0.25">
      <c r="A37" s="6" t="s">
        <v>47</v>
      </c>
      <c r="B37" s="7">
        <v>3</v>
      </c>
      <c r="C37" s="7" t="s">
        <v>118</v>
      </c>
      <c r="D37" s="7" t="s">
        <v>42</v>
      </c>
      <c r="E37" s="6" t="s">
        <v>119</v>
      </c>
      <c r="F37" s="8">
        <v>1</v>
      </c>
      <c r="G37" s="8">
        <v>1</v>
      </c>
      <c r="H37" s="9">
        <v>615</v>
      </c>
      <c r="I37" s="10">
        <v>514</v>
      </c>
      <c r="J37" s="10">
        <v>47</v>
      </c>
      <c r="K37" s="11">
        <v>3</v>
      </c>
      <c r="L37" s="11">
        <f t="shared" si="16"/>
        <v>789</v>
      </c>
      <c r="M37" s="11">
        <f t="shared" si="17"/>
        <v>688</v>
      </c>
      <c r="N37" s="10">
        <v>4</v>
      </c>
      <c r="O37" s="12">
        <v>1</v>
      </c>
      <c r="P37" s="13">
        <f t="shared" si="1"/>
        <v>2.30160768</v>
      </c>
      <c r="Q37" s="14">
        <v>243</v>
      </c>
      <c r="R37" s="14">
        <f t="shared" si="2"/>
        <v>559.29066624000006</v>
      </c>
      <c r="S37" s="15">
        <v>1.1000000000000001</v>
      </c>
      <c r="T37" s="16">
        <f t="shared" si="3"/>
        <v>1.20160768</v>
      </c>
      <c r="U37" s="14">
        <f t="shared" si="4"/>
        <v>1.0814469120000001</v>
      </c>
      <c r="V37" s="17">
        <f>[1]RM_database!$F$40</f>
        <v>35</v>
      </c>
      <c r="W37" s="18">
        <f t="shared" si="5"/>
        <v>37.850641920000001</v>
      </c>
      <c r="X37" s="14">
        <f t="shared" si="6"/>
        <v>521.44002432000002</v>
      </c>
      <c r="Y37" s="19">
        <v>3000</v>
      </c>
      <c r="Z37" s="20">
        <v>10</v>
      </c>
      <c r="AA37" s="14">
        <f t="shared" si="7"/>
        <v>1</v>
      </c>
      <c r="AB37" s="19">
        <f t="shared" si="8"/>
        <v>39.96</v>
      </c>
      <c r="AC37" s="14">
        <f t="shared" si="9"/>
        <v>75.075075075075077</v>
      </c>
      <c r="AD37" s="14">
        <v>4250</v>
      </c>
      <c r="AE37" s="14">
        <f>VLOOKUP(C37,'[1]CNC Trimming Cycle time'!C:R,16,0)</f>
        <v>26.932080431335908</v>
      </c>
      <c r="AF37" s="14">
        <f t="shared" si="10"/>
        <v>102.00715550641098</v>
      </c>
      <c r="AG37" s="14">
        <f t="shared" si="11"/>
        <v>623.447179826411</v>
      </c>
      <c r="AH37" s="14">
        <f>X37*[1]Consideration!$C$18</f>
        <v>11.732400547199999</v>
      </c>
      <c r="AI37" s="14">
        <f>X37*[1]Consideration!$C$17</f>
        <v>5.2144002432000001</v>
      </c>
      <c r="AJ37" s="14">
        <f>IFERROR(AF37*[1]Consideration!$C$19,"")</f>
        <v>8.1605724405128779</v>
      </c>
      <c r="AK37" s="14">
        <f>IFERROR(AG37*[1]Consideration!$C$20,"")</f>
        <v>43.641302587848777</v>
      </c>
      <c r="AL37" s="14">
        <f t="shared" si="12"/>
        <v>692.19585564517263</v>
      </c>
      <c r="AM37" s="20"/>
      <c r="AN37" s="20"/>
      <c r="AO37" s="21"/>
    </row>
    <row r="38" spans="1:41" s="5" customFormat="1" ht="15.75" x14ac:dyDescent="0.25">
      <c r="A38" s="6" t="s">
        <v>47</v>
      </c>
      <c r="B38" s="7">
        <v>3</v>
      </c>
      <c r="C38" s="7" t="s">
        <v>120</v>
      </c>
      <c r="D38" s="7" t="s">
        <v>42</v>
      </c>
      <c r="E38" s="6" t="s">
        <v>121</v>
      </c>
      <c r="F38" s="8">
        <v>1</v>
      </c>
      <c r="G38" s="8">
        <v>1</v>
      </c>
      <c r="H38" s="9">
        <v>1125</v>
      </c>
      <c r="I38" s="10">
        <v>144</v>
      </c>
      <c r="J38" s="10">
        <v>76</v>
      </c>
      <c r="K38" s="11">
        <v>3</v>
      </c>
      <c r="L38" s="11">
        <f t="shared" si="16"/>
        <v>1357</v>
      </c>
      <c r="M38" s="11">
        <f t="shared" si="17"/>
        <v>376</v>
      </c>
      <c r="N38" s="10">
        <v>4</v>
      </c>
      <c r="O38" s="12">
        <v>1</v>
      </c>
      <c r="P38" s="13">
        <f t="shared" si="1"/>
        <v>2.1633836800000004</v>
      </c>
      <c r="Q38" s="14">
        <v>243</v>
      </c>
      <c r="R38" s="14">
        <f t="shared" si="2"/>
        <v>525.70223424000005</v>
      </c>
      <c r="S38" s="15">
        <v>0.5</v>
      </c>
      <c r="T38" s="16">
        <f t="shared" si="3"/>
        <v>1.6633836800000004</v>
      </c>
      <c r="U38" s="14">
        <f t="shared" si="4"/>
        <v>1.4970453120000005</v>
      </c>
      <c r="V38" s="17">
        <f>[1]RM_database!$F$40</f>
        <v>35</v>
      </c>
      <c r="W38" s="18">
        <f t="shared" si="5"/>
        <v>52.396585920000014</v>
      </c>
      <c r="X38" s="14">
        <f t="shared" si="6"/>
        <v>473.30564832000005</v>
      </c>
      <c r="Y38" s="19">
        <v>3000</v>
      </c>
      <c r="Z38" s="20">
        <v>10</v>
      </c>
      <c r="AA38" s="14">
        <f t="shared" si="7"/>
        <v>1</v>
      </c>
      <c r="AB38" s="19">
        <f t="shared" si="8"/>
        <v>39.96</v>
      </c>
      <c r="AC38" s="14">
        <f t="shared" si="9"/>
        <v>75.075075075075077</v>
      </c>
      <c r="AD38" s="14">
        <v>4250</v>
      </c>
      <c r="AE38" s="14">
        <f>VLOOKUP(C38,'[1]CNC Trimming Cycle time'!C:R,16,0)</f>
        <v>30.252827235599725</v>
      </c>
      <c r="AF38" s="14">
        <f t="shared" si="10"/>
        <v>105.3279023106748</v>
      </c>
      <c r="AG38" s="14">
        <f t="shared" si="11"/>
        <v>578.63355063067479</v>
      </c>
      <c r="AH38" s="14">
        <f>X38*[1]Consideration!$C$18</f>
        <v>10.649377087200001</v>
      </c>
      <c r="AI38" s="14">
        <f>X38*[1]Consideration!$C$17</f>
        <v>4.7330564832000004</v>
      </c>
      <c r="AJ38" s="14">
        <f>IFERROR(AF38*[1]Consideration!$C$19,"")</f>
        <v>8.4262321848539834</v>
      </c>
      <c r="AK38" s="14">
        <f>IFERROR(AG38*[1]Consideration!$C$20,"")</f>
        <v>40.504348544147241</v>
      </c>
      <c r="AL38" s="14">
        <f t="shared" si="12"/>
        <v>642.94656493007608</v>
      </c>
      <c r="AM38" s="20"/>
      <c r="AN38" s="20"/>
      <c r="AO38" s="21"/>
    </row>
    <row r="39" spans="1:41" s="5" customFormat="1" ht="15.75" x14ac:dyDescent="0.25">
      <c r="A39" s="6" t="s">
        <v>47</v>
      </c>
      <c r="B39" s="7">
        <v>3</v>
      </c>
      <c r="C39" s="7" t="s">
        <v>122</v>
      </c>
      <c r="D39" s="7" t="s">
        <v>42</v>
      </c>
      <c r="E39" s="6" t="s">
        <v>123</v>
      </c>
      <c r="F39" s="8">
        <v>1</v>
      </c>
      <c r="G39" s="8">
        <v>1</v>
      </c>
      <c r="H39" s="9">
        <v>1129</v>
      </c>
      <c r="I39" s="10">
        <v>678</v>
      </c>
      <c r="J39" s="10">
        <v>19</v>
      </c>
      <c r="K39" s="11">
        <v>3</v>
      </c>
      <c r="L39" s="11">
        <f t="shared" si="16"/>
        <v>1247</v>
      </c>
      <c r="M39" s="11">
        <f t="shared" si="17"/>
        <v>796</v>
      </c>
      <c r="N39" s="10">
        <v>4</v>
      </c>
      <c r="O39" s="12">
        <v>1</v>
      </c>
      <c r="P39" s="13">
        <f t="shared" si="1"/>
        <v>4.2086748800000002</v>
      </c>
      <c r="Q39" s="14">
        <v>243</v>
      </c>
      <c r="R39" s="14">
        <f t="shared" si="2"/>
        <v>1022.7079958400001</v>
      </c>
      <c r="S39" s="15">
        <v>2.2660999999999998</v>
      </c>
      <c r="T39" s="16">
        <f t="shared" si="3"/>
        <v>1.9425748800000004</v>
      </c>
      <c r="U39" s="14">
        <f t="shared" si="4"/>
        <v>1.7483173920000004</v>
      </c>
      <c r="V39" s="17">
        <f>[1]RM_database!$F$40</f>
        <v>35</v>
      </c>
      <c r="W39" s="18">
        <f t="shared" si="5"/>
        <v>61.19110872000001</v>
      </c>
      <c r="X39" s="14">
        <f t="shared" si="6"/>
        <v>961.51688712000009</v>
      </c>
      <c r="Y39" s="19">
        <v>3000</v>
      </c>
      <c r="Z39" s="20">
        <v>10</v>
      </c>
      <c r="AA39" s="14">
        <f t="shared" si="7"/>
        <v>1</v>
      </c>
      <c r="AB39" s="19">
        <f t="shared" si="8"/>
        <v>39.96</v>
      </c>
      <c r="AC39" s="14">
        <f t="shared" si="9"/>
        <v>75.075075075075077</v>
      </c>
      <c r="AD39" s="14">
        <v>4250</v>
      </c>
      <c r="AE39" s="14">
        <f>VLOOKUP(C39,'[1]CNC Trimming Cycle time'!C:R,16,0)</f>
        <v>33.691328778612984</v>
      </c>
      <c r="AF39" s="14">
        <f t="shared" si="10"/>
        <v>108.76640385368806</v>
      </c>
      <c r="AG39" s="14">
        <f t="shared" si="11"/>
        <v>1070.2832909736881</v>
      </c>
      <c r="AH39" s="14">
        <f>X39*[1]Consideration!$C$18</f>
        <v>21.634129960200003</v>
      </c>
      <c r="AI39" s="14">
        <f>X39*[1]Consideration!$C$17</f>
        <v>9.6151688712000016</v>
      </c>
      <c r="AJ39" s="14">
        <f>IFERROR(AF39*[1]Consideration!$C$19,"")</f>
        <v>8.7013123082950443</v>
      </c>
      <c r="AK39" s="14">
        <f>IFERROR(AG39*[1]Consideration!$C$20,"")</f>
        <v>74.919830368158173</v>
      </c>
      <c r="AL39" s="14">
        <f t="shared" si="12"/>
        <v>1185.1537324815413</v>
      </c>
      <c r="AM39" s="20"/>
      <c r="AN39" s="20"/>
      <c r="AO39" s="21"/>
    </row>
    <row r="40" spans="1:41" s="5" customFormat="1" ht="15.75" x14ac:dyDescent="0.25">
      <c r="A40" s="6" t="s">
        <v>47</v>
      </c>
      <c r="B40" s="7">
        <v>3</v>
      </c>
      <c r="C40" s="7" t="s">
        <v>124</v>
      </c>
      <c r="D40" s="7" t="s">
        <v>42</v>
      </c>
      <c r="E40" s="6" t="s">
        <v>76</v>
      </c>
      <c r="F40" s="8">
        <v>1</v>
      </c>
      <c r="G40" s="8">
        <v>1</v>
      </c>
      <c r="H40" s="9">
        <v>531</v>
      </c>
      <c r="I40" s="10">
        <v>678</v>
      </c>
      <c r="J40" s="10">
        <v>19</v>
      </c>
      <c r="K40" s="11">
        <v>3</v>
      </c>
      <c r="L40" s="11">
        <f t="shared" si="16"/>
        <v>649</v>
      </c>
      <c r="M40" s="11">
        <f t="shared" si="17"/>
        <v>796</v>
      </c>
      <c r="N40" s="10">
        <v>4</v>
      </c>
      <c r="O40" s="12">
        <v>1</v>
      </c>
      <c r="P40" s="13">
        <f t="shared" si="1"/>
        <v>2.1904009599999998</v>
      </c>
      <c r="Q40" s="14">
        <v>243</v>
      </c>
      <c r="R40" s="14">
        <f t="shared" si="2"/>
        <v>532.26743327999998</v>
      </c>
      <c r="S40" s="15">
        <v>1.115</v>
      </c>
      <c r="T40" s="16">
        <f t="shared" si="3"/>
        <v>1.0754009599999999</v>
      </c>
      <c r="U40" s="14">
        <f t="shared" si="4"/>
        <v>0.96786086399999993</v>
      </c>
      <c r="V40" s="17">
        <f>[1]RM_database!$F$40</f>
        <v>35</v>
      </c>
      <c r="W40" s="18">
        <f t="shared" si="5"/>
        <v>33.875130239999997</v>
      </c>
      <c r="X40" s="14">
        <f t="shared" si="6"/>
        <v>498.39230304</v>
      </c>
      <c r="Y40" s="19">
        <v>3000</v>
      </c>
      <c r="Z40" s="20">
        <v>10</v>
      </c>
      <c r="AA40" s="14">
        <f t="shared" si="7"/>
        <v>1</v>
      </c>
      <c r="AB40" s="19">
        <f t="shared" si="8"/>
        <v>39.96</v>
      </c>
      <c r="AC40" s="14">
        <f t="shared" si="9"/>
        <v>75.075075075075077</v>
      </c>
      <c r="AD40" s="14">
        <v>4250</v>
      </c>
      <c r="AE40" s="14">
        <f>VLOOKUP(C40,'[1]CNC Trimming Cycle time'!C:R,16,0)</f>
        <v>28.362065762092833</v>
      </c>
      <c r="AF40" s="14">
        <f t="shared" si="10"/>
        <v>103.4371408371679</v>
      </c>
      <c r="AG40" s="14">
        <f t="shared" si="11"/>
        <v>601.82944387716793</v>
      </c>
      <c r="AH40" s="14">
        <f>X40*[1]Consideration!$C$18</f>
        <v>11.213826818399999</v>
      </c>
      <c r="AI40" s="14">
        <f>X40*[1]Consideration!$C$17</f>
        <v>4.9839230303999997</v>
      </c>
      <c r="AJ40" s="14">
        <f>IFERROR(AF40*[1]Consideration!$C$19,"")</f>
        <v>8.2749712669734325</v>
      </c>
      <c r="AK40" s="14">
        <f>IFERROR(AG40*[1]Consideration!$C$20,"")</f>
        <v>42.12806107140176</v>
      </c>
      <c r="AL40" s="14">
        <f t="shared" si="12"/>
        <v>668.43022606434306</v>
      </c>
      <c r="AM40" s="20"/>
      <c r="AN40" s="20"/>
      <c r="AO40" s="21"/>
    </row>
    <row r="41" spans="1:41" s="5" customFormat="1" ht="15.75" x14ac:dyDescent="0.25">
      <c r="A41" s="6" t="s">
        <v>47</v>
      </c>
      <c r="B41" s="7">
        <v>3</v>
      </c>
      <c r="C41" s="7" t="s">
        <v>125</v>
      </c>
      <c r="D41" s="7" t="s">
        <v>42</v>
      </c>
      <c r="E41" s="6" t="s">
        <v>76</v>
      </c>
      <c r="F41" s="8">
        <v>1</v>
      </c>
      <c r="G41" s="8">
        <v>1</v>
      </c>
      <c r="H41" s="9">
        <v>1443</v>
      </c>
      <c r="I41" s="10">
        <v>514</v>
      </c>
      <c r="J41" s="10">
        <v>63</v>
      </c>
      <c r="K41" s="11">
        <v>3</v>
      </c>
      <c r="L41" s="11">
        <f t="shared" si="16"/>
        <v>1649</v>
      </c>
      <c r="M41" s="11">
        <f t="shared" si="17"/>
        <v>720</v>
      </c>
      <c r="N41" s="10">
        <v>4</v>
      </c>
      <c r="O41" s="12">
        <v>1</v>
      </c>
      <c r="P41" s="13">
        <f t="shared" si="1"/>
        <v>5.0340672</v>
      </c>
      <c r="Q41" s="14">
        <v>243</v>
      </c>
      <c r="R41" s="14">
        <f t="shared" si="2"/>
        <v>1223.2783296</v>
      </c>
      <c r="S41" s="15">
        <v>2.5760000000000001</v>
      </c>
      <c r="T41" s="16">
        <f t="shared" si="3"/>
        <v>2.4580671999999999</v>
      </c>
      <c r="U41" s="14">
        <f t="shared" si="4"/>
        <v>2.2122604799999999</v>
      </c>
      <c r="V41" s="17">
        <f>[1]RM_database!$F$40</f>
        <v>35</v>
      </c>
      <c r="W41" s="18">
        <f t="shared" si="5"/>
        <v>77.429116799999989</v>
      </c>
      <c r="X41" s="14">
        <f t="shared" si="6"/>
        <v>1145.8492128</v>
      </c>
      <c r="Y41" s="19">
        <v>3000</v>
      </c>
      <c r="Z41" s="20">
        <v>10</v>
      </c>
      <c r="AA41" s="14">
        <f t="shared" si="7"/>
        <v>1</v>
      </c>
      <c r="AB41" s="19">
        <f t="shared" si="8"/>
        <v>39.96</v>
      </c>
      <c r="AC41" s="14">
        <f t="shared" si="9"/>
        <v>75.075075075075077</v>
      </c>
      <c r="AD41" s="14">
        <v>4250</v>
      </c>
      <c r="AE41" s="14">
        <f>VLOOKUP(C41,'[1]CNC Trimming Cycle time'!C:R,16,0)</f>
        <v>35.146387190158691</v>
      </c>
      <c r="AF41" s="14">
        <f t="shared" si="10"/>
        <v>110.22146226523377</v>
      </c>
      <c r="AG41" s="14">
        <f t="shared" si="11"/>
        <v>1256.0706750652339</v>
      </c>
      <c r="AH41" s="14">
        <f>X41*[1]Consideration!$C$18</f>
        <v>25.781607288</v>
      </c>
      <c r="AI41" s="14">
        <f>X41*[1]Consideration!$C$17</f>
        <v>11.458492128000001</v>
      </c>
      <c r="AJ41" s="14">
        <f>IFERROR(AF41*[1]Consideration!$C$19,"")</f>
        <v>8.8177169812187017</v>
      </c>
      <c r="AK41" s="14">
        <f>IFERROR(AG41*[1]Consideration!$C$20,"")</f>
        <v>87.924947254566376</v>
      </c>
      <c r="AL41" s="14">
        <f t="shared" si="12"/>
        <v>1390.0534387170189</v>
      </c>
      <c r="AM41" s="20"/>
      <c r="AN41" s="20"/>
      <c r="AO41" s="21"/>
    </row>
    <row r="42" spans="1:41" s="5" customFormat="1" ht="15.75" x14ac:dyDescent="0.25">
      <c r="A42" s="6" t="s">
        <v>47</v>
      </c>
      <c r="B42" s="7">
        <v>3</v>
      </c>
      <c r="C42" s="7" t="s">
        <v>126</v>
      </c>
      <c r="D42" s="7" t="s">
        <v>42</v>
      </c>
      <c r="E42" s="6" t="s">
        <v>127</v>
      </c>
      <c r="F42" s="8">
        <v>1</v>
      </c>
      <c r="G42" s="8">
        <v>1</v>
      </c>
      <c r="H42" s="9">
        <v>421</v>
      </c>
      <c r="I42" s="10">
        <v>678</v>
      </c>
      <c r="J42" s="10">
        <v>19</v>
      </c>
      <c r="K42" s="11">
        <v>3</v>
      </c>
      <c r="L42" s="11">
        <f t="shared" si="16"/>
        <v>539</v>
      </c>
      <c r="M42" s="11">
        <f t="shared" si="17"/>
        <v>796</v>
      </c>
      <c r="N42" s="10">
        <v>4</v>
      </c>
      <c r="O42" s="12">
        <v>1</v>
      </c>
      <c r="P42" s="13">
        <f t="shared" si="1"/>
        <v>1.8191465600000001</v>
      </c>
      <c r="Q42" s="14">
        <v>243</v>
      </c>
      <c r="R42" s="14">
        <f t="shared" si="2"/>
        <v>442.05261408000001</v>
      </c>
      <c r="S42" s="15">
        <v>0.91900000000000004</v>
      </c>
      <c r="T42" s="16">
        <f t="shared" si="3"/>
        <v>0.90014656000000004</v>
      </c>
      <c r="U42" s="14">
        <f t="shared" si="4"/>
        <v>0.81013190400000001</v>
      </c>
      <c r="V42" s="17">
        <f>[1]RM_database!$F$40</f>
        <v>35</v>
      </c>
      <c r="W42" s="18">
        <f t="shared" si="5"/>
        <v>28.35461664</v>
      </c>
      <c r="X42" s="14">
        <f t="shared" si="6"/>
        <v>413.69799743999999</v>
      </c>
      <c r="Y42" s="19">
        <v>3000</v>
      </c>
      <c r="Z42" s="20">
        <v>10</v>
      </c>
      <c r="AA42" s="14">
        <f t="shared" si="7"/>
        <v>1</v>
      </c>
      <c r="AB42" s="19">
        <f t="shared" si="8"/>
        <v>39.96</v>
      </c>
      <c r="AC42" s="14">
        <f t="shared" si="9"/>
        <v>75.075075075075077</v>
      </c>
      <c r="AD42" s="14">
        <v>4250</v>
      </c>
      <c r="AE42" s="14">
        <f>VLOOKUP(C42,'[1]CNC Trimming Cycle time'!C:R,16,0)</f>
        <v>25.957358775357086</v>
      </c>
      <c r="AF42" s="14">
        <f t="shared" si="10"/>
        <v>101.03243385043217</v>
      </c>
      <c r="AG42" s="14">
        <f t="shared" si="11"/>
        <v>514.73043129043219</v>
      </c>
      <c r="AH42" s="14">
        <f>X42*[1]Consideration!$C$18</f>
        <v>9.3082049423999997</v>
      </c>
      <c r="AI42" s="14">
        <f>X42*[1]Consideration!$C$17</f>
        <v>4.1369799744</v>
      </c>
      <c r="AJ42" s="14">
        <f>IFERROR(AF42*[1]Consideration!$C$19,"")</f>
        <v>8.0825947080345735</v>
      </c>
      <c r="AK42" s="14">
        <f>IFERROR(AG42*[1]Consideration!$C$20,"")</f>
        <v>36.031130190330259</v>
      </c>
      <c r="AL42" s="14">
        <f t="shared" si="12"/>
        <v>572.28934110559703</v>
      </c>
      <c r="AM42" s="20"/>
      <c r="AN42" s="20"/>
      <c r="AO42" s="21"/>
    </row>
    <row r="43" spans="1:41" s="5" customFormat="1" ht="15.75" x14ac:dyDescent="0.25">
      <c r="A43" s="6" t="s">
        <v>47</v>
      </c>
      <c r="B43" s="7">
        <v>3</v>
      </c>
      <c r="C43" s="7" t="s">
        <v>128</v>
      </c>
      <c r="D43" s="7" t="s">
        <v>42</v>
      </c>
      <c r="E43" s="6" t="s">
        <v>105</v>
      </c>
      <c r="F43" s="8">
        <v>1</v>
      </c>
      <c r="G43" s="8">
        <v>1</v>
      </c>
      <c r="H43" s="9">
        <v>1381</v>
      </c>
      <c r="I43" s="10">
        <v>514</v>
      </c>
      <c r="J43" s="10">
        <v>63</v>
      </c>
      <c r="K43" s="11">
        <v>3</v>
      </c>
      <c r="L43" s="11">
        <f t="shared" si="16"/>
        <v>1587</v>
      </c>
      <c r="M43" s="11">
        <f t="shared" si="17"/>
        <v>720</v>
      </c>
      <c r="N43" s="10">
        <v>4</v>
      </c>
      <c r="O43" s="12">
        <v>1</v>
      </c>
      <c r="P43" s="13">
        <f t="shared" si="1"/>
        <v>4.8447936000000009</v>
      </c>
      <c r="Q43" s="14">
        <v>243</v>
      </c>
      <c r="R43" s="14">
        <f t="shared" si="2"/>
        <v>1177.2848448000002</v>
      </c>
      <c r="S43" s="15">
        <v>2.456</v>
      </c>
      <c r="T43" s="16">
        <f t="shared" si="3"/>
        <v>2.388793600000001</v>
      </c>
      <c r="U43" s="14">
        <f t="shared" si="4"/>
        <v>2.1499142400000011</v>
      </c>
      <c r="V43" s="17">
        <f>[1]RM_database!$F$40</f>
        <v>35</v>
      </c>
      <c r="W43" s="18">
        <f t="shared" si="5"/>
        <v>75.246998400000038</v>
      </c>
      <c r="X43" s="14">
        <f t="shared" si="6"/>
        <v>1102.0378464000003</v>
      </c>
      <c r="Y43" s="19">
        <v>3000</v>
      </c>
      <c r="Z43" s="20">
        <v>10</v>
      </c>
      <c r="AA43" s="14">
        <f t="shared" si="7"/>
        <v>1</v>
      </c>
      <c r="AB43" s="19">
        <f t="shared" si="8"/>
        <v>39.96</v>
      </c>
      <c r="AC43" s="14">
        <f t="shared" si="9"/>
        <v>75.075075075075077</v>
      </c>
      <c r="AD43" s="14">
        <v>4250</v>
      </c>
      <c r="AE43" s="14">
        <f>VLOOKUP(C43,'[1]CNC Trimming Cycle time'!C:R,16,0)</f>
        <v>34.47688178607325</v>
      </c>
      <c r="AF43" s="14">
        <f t="shared" si="10"/>
        <v>109.55195686114833</v>
      </c>
      <c r="AG43" s="14">
        <f t="shared" si="11"/>
        <v>1211.5898032611485</v>
      </c>
      <c r="AH43" s="14">
        <f>X43*[1]Consideration!$C$18</f>
        <v>24.795851544000005</v>
      </c>
      <c r="AI43" s="14">
        <f>X43*[1]Consideration!$C$17</f>
        <v>11.020378464000002</v>
      </c>
      <c r="AJ43" s="14">
        <f>IFERROR(AF43*[1]Consideration!$C$19,"")</f>
        <v>8.7641565488918669</v>
      </c>
      <c r="AK43" s="14">
        <f>IFERROR(AG43*[1]Consideration!$C$20,"")</f>
        <v>84.811286228280409</v>
      </c>
      <c r="AL43" s="14">
        <f t="shared" si="12"/>
        <v>1340.9814760463207</v>
      </c>
      <c r="AM43" s="20"/>
      <c r="AN43" s="20"/>
      <c r="AO43" s="21"/>
    </row>
    <row r="44" spans="1:41" s="5" customFormat="1" ht="15.75" x14ac:dyDescent="0.25">
      <c r="A44" s="6" t="s">
        <v>74</v>
      </c>
      <c r="B44" s="7">
        <v>3</v>
      </c>
      <c r="C44" s="7" t="s">
        <v>129</v>
      </c>
      <c r="D44" s="7" t="s">
        <v>42</v>
      </c>
      <c r="E44" s="6" t="s">
        <v>130</v>
      </c>
      <c r="F44" s="8">
        <v>1</v>
      </c>
      <c r="G44" s="8">
        <v>1</v>
      </c>
      <c r="H44" s="9">
        <v>1449</v>
      </c>
      <c r="I44" s="10">
        <v>136</v>
      </c>
      <c r="J44" s="10">
        <v>80</v>
      </c>
      <c r="K44" s="11">
        <v>3</v>
      </c>
      <c r="L44" s="11">
        <f t="shared" si="16"/>
        <v>1689</v>
      </c>
      <c r="M44" s="11">
        <f t="shared" si="17"/>
        <v>376</v>
      </c>
      <c r="N44" s="10">
        <v>4</v>
      </c>
      <c r="O44" s="12">
        <v>1</v>
      </c>
      <c r="P44" s="13">
        <f t="shared" si="1"/>
        <v>2.6926713600000003</v>
      </c>
      <c r="Q44" s="14">
        <v>243</v>
      </c>
      <c r="R44" s="14">
        <f t="shared" si="2"/>
        <v>654.3191404800001</v>
      </c>
      <c r="S44" s="15">
        <v>0.56000000000000005</v>
      </c>
      <c r="T44" s="16">
        <f t="shared" si="3"/>
        <v>2.1326713600000002</v>
      </c>
      <c r="U44" s="14">
        <f t="shared" si="4"/>
        <v>1.9194042240000002</v>
      </c>
      <c r="V44" s="17">
        <f>[1]RM_database!$F$40</f>
        <v>35</v>
      </c>
      <c r="W44" s="18">
        <f t="shared" si="5"/>
        <v>67.179147840000013</v>
      </c>
      <c r="X44" s="14">
        <f t="shared" si="6"/>
        <v>587.13999264000006</v>
      </c>
      <c r="Y44" s="19">
        <v>3000</v>
      </c>
      <c r="Z44" s="20">
        <v>10</v>
      </c>
      <c r="AA44" s="14">
        <f t="shared" si="7"/>
        <v>1</v>
      </c>
      <c r="AB44" s="19">
        <f t="shared" si="8"/>
        <v>39.96</v>
      </c>
      <c r="AC44" s="14">
        <f t="shared" si="9"/>
        <v>75.075075075075077</v>
      </c>
      <c r="AD44" s="14">
        <v>4250</v>
      </c>
      <c r="AE44" s="14">
        <f>VLOOKUP(C44,'[1]CNC Trimming Cycle time'!C:R,16,0)</f>
        <v>31.002673288175423</v>
      </c>
      <c r="AF44" s="14">
        <f t="shared" si="10"/>
        <v>106.07774836325049</v>
      </c>
      <c r="AG44" s="14">
        <f t="shared" si="11"/>
        <v>693.21774100325058</v>
      </c>
      <c r="AH44" s="14">
        <f>X44*[1]Consideration!$C$18</f>
        <v>13.210649834400002</v>
      </c>
      <c r="AI44" s="14">
        <f>X44*[1]Consideration!$C$17</f>
        <v>5.8713999264000005</v>
      </c>
      <c r="AJ44" s="14">
        <f>IFERROR(AF44*[1]Consideration!$C$19,"")</f>
        <v>8.4862198690600401</v>
      </c>
      <c r="AK44" s="14">
        <f>IFERROR(AG44*[1]Consideration!$C$20,"")</f>
        <v>48.525241870227546</v>
      </c>
      <c r="AL44" s="14">
        <f t="shared" si="12"/>
        <v>769.31125250333821</v>
      </c>
      <c r="AM44" s="20"/>
      <c r="AN44" s="20"/>
      <c r="AO44" s="21"/>
    </row>
    <row r="45" spans="1:41" s="5" customFormat="1" ht="15.75" x14ac:dyDescent="0.25">
      <c r="A45" s="6" t="s">
        <v>74</v>
      </c>
      <c r="B45" s="7">
        <v>3</v>
      </c>
      <c r="C45" s="7" t="s">
        <v>131</v>
      </c>
      <c r="D45" s="7" t="s">
        <v>66</v>
      </c>
      <c r="E45" s="6" t="s">
        <v>132</v>
      </c>
      <c r="F45" s="8">
        <v>1</v>
      </c>
      <c r="G45" s="8">
        <v>1</v>
      </c>
      <c r="H45" s="9">
        <v>1164</v>
      </c>
      <c r="I45" s="10">
        <v>144</v>
      </c>
      <c r="J45" s="10">
        <v>118</v>
      </c>
      <c r="K45" s="11">
        <v>3</v>
      </c>
      <c r="L45" s="11">
        <f t="shared" si="16"/>
        <v>1480</v>
      </c>
      <c r="M45" s="11">
        <f t="shared" si="17"/>
        <v>460</v>
      </c>
      <c r="N45" s="10">
        <v>4</v>
      </c>
      <c r="O45" s="12">
        <v>1</v>
      </c>
      <c r="P45" s="13">
        <f t="shared" si="1"/>
        <v>2.8865919999999998</v>
      </c>
      <c r="Q45" s="14">
        <v>243</v>
      </c>
      <c r="R45" s="14">
        <f t="shared" si="2"/>
        <v>701.44185599999992</v>
      </c>
      <c r="S45" s="15">
        <v>0.7</v>
      </c>
      <c r="T45" s="16">
        <f t="shared" si="3"/>
        <v>2.1865920000000001</v>
      </c>
      <c r="U45" s="14">
        <f t="shared" si="4"/>
        <v>1.9679328</v>
      </c>
      <c r="V45" s="17">
        <f>[1]RM_database!$F$40</f>
        <v>35</v>
      </c>
      <c r="W45" s="18">
        <f t="shared" si="5"/>
        <v>68.877648000000008</v>
      </c>
      <c r="X45" s="14">
        <f t="shared" si="6"/>
        <v>632.56420799999989</v>
      </c>
      <c r="Y45" s="19">
        <v>3000</v>
      </c>
      <c r="Z45" s="20">
        <v>10</v>
      </c>
      <c r="AA45" s="14">
        <f t="shared" si="7"/>
        <v>1</v>
      </c>
      <c r="AB45" s="19">
        <f t="shared" si="8"/>
        <v>39.96</v>
      </c>
      <c r="AC45" s="14">
        <f t="shared" si="9"/>
        <v>75.075075075075077</v>
      </c>
      <c r="AD45" s="14">
        <v>4250</v>
      </c>
      <c r="AE45" s="14">
        <f>VLOOKUP(C45,'[1]CNC Trimming Cycle time'!C:R,16,0)</f>
        <v>28.529966662419842</v>
      </c>
      <c r="AF45" s="14">
        <f t="shared" si="10"/>
        <v>103.60504173749491</v>
      </c>
      <c r="AG45" s="14">
        <f t="shared" si="11"/>
        <v>736.16924973749485</v>
      </c>
      <c r="AH45" s="14">
        <f>X45*[1]Consideration!$C$18</f>
        <v>14.232694679999996</v>
      </c>
      <c r="AI45" s="14">
        <f>X45*[1]Consideration!$C$17</f>
        <v>6.3256420799999988</v>
      </c>
      <c r="AJ45" s="14">
        <f>IFERROR(AF45*[1]Consideration!$C$19,"")</f>
        <v>8.2884033389995935</v>
      </c>
      <c r="AK45" s="14">
        <f>IFERROR(AG45*[1]Consideration!$C$20,"")</f>
        <v>51.531847481624645</v>
      </c>
      <c r="AL45" s="14">
        <f t="shared" si="12"/>
        <v>816.54783731811904</v>
      </c>
      <c r="AM45" s="20"/>
      <c r="AN45" s="20"/>
      <c r="AO45" s="21"/>
    </row>
    <row r="46" spans="1:41" s="5" customFormat="1" ht="15.75" x14ac:dyDescent="0.25">
      <c r="A46" s="6" t="s">
        <v>133</v>
      </c>
      <c r="B46" s="7">
        <v>3</v>
      </c>
      <c r="C46" s="7" t="s">
        <v>134</v>
      </c>
      <c r="D46" s="7" t="s">
        <v>42</v>
      </c>
      <c r="E46" s="6" t="s">
        <v>135</v>
      </c>
      <c r="F46" s="8">
        <v>1</v>
      </c>
      <c r="G46" s="8">
        <v>1</v>
      </c>
      <c r="H46" s="9">
        <v>1810</v>
      </c>
      <c r="I46" s="10">
        <v>55</v>
      </c>
      <c r="J46" s="10">
        <v>27</v>
      </c>
      <c r="K46" s="11">
        <v>3</v>
      </c>
      <c r="L46" s="11">
        <f t="shared" si="16"/>
        <v>1944</v>
      </c>
      <c r="M46" s="11">
        <f t="shared" si="17"/>
        <v>189</v>
      </c>
      <c r="N46" s="10">
        <v>4</v>
      </c>
      <c r="O46" s="12">
        <v>1</v>
      </c>
      <c r="P46" s="13">
        <f t="shared" si="1"/>
        <v>1.5578438400000001</v>
      </c>
      <c r="Q46" s="14">
        <v>243</v>
      </c>
      <c r="R46" s="14">
        <f t="shared" si="2"/>
        <v>378.55605312</v>
      </c>
      <c r="S46" s="15">
        <v>0.54800000000000004</v>
      </c>
      <c r="T46" s="16">
        <f t="shared" si="3"/>
        <v>1.00984384</v>
      </c>
      <c r="U46" s="14">
        <f t="shared" si="4"/>
        <v>0.90885945600000007</v>
      </c>
      <c r="V46" s="17">
        <f>[1]RM_database!$F$40</f>
        <v>35</v>
      </c>
      <c r="W46" s="18">
        <f t="shared" si="5"/>
        <v>31.810080960000001</v>
      </c>
      <c r="X46" s="14">
        <f t="shared" si="6"/>
        <v>346.74597216000001</v>
      </c>
      <c r="Y46" s="19">
        <v>3000</v>
      </c>
      <c r="Z46" s="20">
        <v>10</v>
      </c>
      <c r="AA46" s="14">
        <f t="shared" si="7"/>
        <v>1</v>
      </c>
      <c r="AB46" s="19">
        <f t="shared" si="8"/>
        <v>39.96</v>
      </c>
      <c r="AC46" s="14">
        <f t="shared" si="9"/>
        <v>75.075075075075077</v>
      </c>
      <c r="AD46" s="14">
        <v>4250</v>
      </c>
      <c r="AE46" s="14">
        <f>VLOOKUP(C46,'[1]CNC Trimming Cycle time'!C:R,16,0)</f>
        <v>33.152310184595351</v>
      </c>
      <c r="AF46" s="14">
        <f t="shared" si="10"/>
        <v>108.22738525967043</v>
      </c>
      <c r="AG46" s="14">
        <f t="shared" si="11"/>
        <v>454.97335741967044</v>
      </c>
      <c r="AH46" s="14">
        <f>X46*[1]Consideration!$C$18</f>
        <v>7.8017843736000003</v>
      </c>
      <c r="AI46" s="14">
        <f>X46*[1]Consideration!$C$17</f>
        <v>3.4674597216</v>
      </c>
      <c r="AJ46" s="14">
        <f>IFERROR(AF46*[1]Consideration!$C$19,"")</f>
        <v>8.6581908207736351</v>
      </c>
      <c r="AK46" s="14">
        <f>IFERROR(AG46*[1]Consideration!$C$20,"")</f>
        <v>31.848135019376933</v>
      </c>
      <c r="AL46" s="14">
        <f t="shared" si="12"/>
        <v>506.74892735502101</v>
      </c>
      <c r="AM46" s="20"/>
      <c r="AN46" s="20"/>
      <c r="AO46" s="21"/>
    </row>
    <row r="47" spans="1:41" s="39" customFormat="1" ht="15.75" x14ac:dyDescent="0.25">
      <c r="A47" s="6" t="s">
        <v>44</v>
      </c>
      <c r="B47" s="7">
        <v>3</v>
      </c>
      <c r="C47" s="7" t="s">
        <v>136</v>
      </c>
      <c r="D47" s="7" t="s">
        <v>42</v>
      </c>
      <c r="E47" s="6" t="s">
        <v>137</v>
      </c>
      <c r="F47" s="8">
        <v>1</v>
      </c>
      <c r="G47" s="8">
        <v>1</v>
      </c>
      <c r="H47" s="26">
        <v>965</v>
      </c>
      <c r="I47" s="10">
        <v>686</v>
      </c>
      <c r="J47" s="10">
        <v>80</v>
      </c>
      <c r="K47" s="27">
        <v>3</v>
      </c>
      <c r="L47" s="27">
        <f>+H47+40*2+J47*2</f>
        <v>1205</v>
      </c>
      <c r="M47" s="27">
        <f>+I47+40*2+J47*2</f>
        <v>926</v>
      </c>
      <c r="N47" s="28">
        <v>4</v>
      </c>
      <c r="O47" s="29">
        <v>1</v>
      </c>
      <c r="P47" s="30">
        <f t="shared" si="1"/>
        <v>4.7311192000000002</v>
      </c>
      <c r="Q47" s="14">
        <v>243</v>
      </c>
      <c r="R47" s="31">
        <f t="shared" si="2"/>
        <v>1149.6619656</v>
      </c>
      <c r="S47" s="32">
        <v>2.0699999999999998</v>
      </c>
      <c r="T47" s="33">
        <f t="shared" si="3"/>
        <v>2.6611192000000004</v>
      </c>
      <c r="U47" s="31">
        <f t="shared" si="4"/>
        <v>2.3950072800000002</v>
      </c>
      <c r="V47" s="34">
        <f>[1]RM_database!$F$40</f>
        <v>35</v>
      </c>
      <c r="W47" s="35">
        <f t="shared" si="5"/>
        <v>83.82525480000001</v>
      </c>
      <c r="X47" s="31">
        <f t="shared" si="6"/>
        <v>1065.8367108</v>
      </c>
      <c r="Y47" s="36">
        <v>3000</v>
      </c>
      <c r="Z47" s="20">
        <v>10</v>
      </c>
      <c r="AA47" s="31">
        <f t="shared" si="7"/>
        <v>1</v>
      </c>
      <c r="AB47" s="36">
        <f t="shared" si="8"/>
        <v>39.96</v>
      </c>
      <c r="AC47" s="31">
        <f t="shared" si="9"/>
        <v>75.075075075075077</v>
      </c>
      <c r="AD47" s="31">
        <v>4250</v>
      </c>
      <c r="AE47" s="14">
        <f>VLOOKUP(C47,'[1]CNC Trimming Cycle time'!C:R,16,0)</f>
        <v>33.005677032459907</v>
      </c>
      <c r="AF47" s="31">
        <f t="shared" si="10"/>
        <v>108.08075210753498</v>
      </c>
      <c r="AG47" s="31">
        <f t="shared" si="11"/>
        <v>1173.9174629075351</v>
      </c>
      <c r="AH47" s="31">
        <f>X47*[1]Consideration!$C$18</f>
        <v>23.981325992999999</v>
      </c>
      <c r="AI47" s="31">
        <f>X47*[1]Consideration!$C$17</f>
        <v>10.658367108</v>
      </c>
      <c r="AJ47" s="31">
        <f>IFERROR(AF47*[1]Consideration!$C$19,"")</f>
        <v>8.6464601686027986</v>
      </c>
      <c r="AK47" s="31">
        <f>IFERROR(AG47*[1]Consideration!$C$20,"")</f>
        <v>82.174222403527466</v>
      </c>
      <c r="AL47" s="31">
        <f t="shared" si="12"/>
        <v>1299.3778385806652</v>
      </c>
      <c r="AM47" s="37"/>
      <c r="AN47" s="37"/>
      <c r="AO47" s="38"/>
    </row>
    <row r="48" spans="1:41" s="39" customFormat="1" ht="15.75" x14ac:dyDescent="0.25">
      <c r="A48" s="6" t="s">
        <v>138</v>
      </c>
      <c r="B48" s="7">
        <v>5</v>
      </c>
      <c r="C48" s="7" t="s">
        <v>139</v>
      </c>
      <c r="D48" s="7" t="s">
        <v>42</v>
      </c>
      <c r="E48" s="6" t="s">
        <v>140</v>
      </c>
      <c r="F48" s="7">
        <v>1</v>
      </c>
      <c r="G48" s="8">
        <v>1</v>
      </c>
      <c r="H48" s="26">
        <v>350</v>
      </c>
      <c r="I48" s="28">
        <v>400</v>
      </c>
      <c r="J48" s="28">
        <v>18</v>
      </c>
      <c r="K48" s="27">
        <v>3</v>
      </c>
      <c r="L48" s="27">
        <f>+H48+40*2+J48*2</f>
        <v>466</v>
      </c>
      <c r="M48" s="27">
        <f>+I48+40*2+J48*2</f>
        <v>516</v>
      </c>
      <c r="N48" s="28">
        <v>4</v>
      </c>
      <c r="O48" s="29">
        <v>1</v>
      </c>
      <c r="P48" s="30">
        <f t="shared" si="1"/>
        <v>1.01953344</v>
      </c>
      <c r="Q48" s="14">
        <v>243</v>
      </c>
      <c r="R48" s="31">
        <f t="shared" si="2"/>
        <v>247.74662592000001</v>
      </c>
      <c r="S48" s="32">
        <v>0.5</v>
      </c>
      <c r="T48" s="33">
        <f t="shared" si="3"/>
        <v>0.51953344000000001</v>
      </c>
      <c r="U48" s="31">
        <f t="shared" si="4"/>
        <v>0.467580096</v>
      </c>
      <c r="V48" s="34">
        <f>[1]RM_database!$F$40</f>
        <v>35</v>
      </c>
      <c r="W48" s="35">
        <f t="shared" si="5"/>
        <v>16.365303359999999</v>
      </c>
      <c r="X48" s="31">
        <f t="shared" si="6"/>
        <v>231.38132256</v>
      </c>
      <c r="Y48" s="36">
        <v>3000</v>
      </c>
      <c r="Z48" s="20">
        <v>10</v>
      </c>
      <c r="AA48" s="31">
        <f t="shared" si="7"/>
        <v>1</v>
      </c>
      <c r="AB48" s="36">
        <f t="shared" si="8"/>
        <v>39.96</v>
      </c>
      <c r="AC48" s="31">
        <f t="shared" si="9"/>
        <v>75.075075075075077</v>
      </c>
      <c r="AD48" s="31">
        <v>4250</v>
      </c>
      <c r="AE48" s="14">
        <f>VLOOKUP(C48,'[1]CNC Trimming Cycle time'!C:R,16,0)</f>
        <v>23.548846456024123</v>
      </c>
      <c r="AF48" s="31">
        <f t="shared" si="10"/>
        <v>98.623921531099199</v>
      </c>
      <c r="AG48" s="31">
        <f t="shared" si="11"/>
        <v>330.0052440910992</v>
      </c>
      <c r="AH48" s="31">
        <f>X48*[1]Consideration!$C$18</f>
        <v>5.2060797575999995</v>
      </c>
      <c r="AI48" s="31">
        <f>X48*[1]Consideration!$C$17</f>
        <v>2.3138132256000001</v>
      </c>
      <c r="AJ48" s="31">
        <f>IFERROR(AF48*[1]Consideration!$C$19,"")</f>
        <v>7.8899137224879361</v>
      </c>
      <c r="AK48" s="31">
        <f>IFERROR(AG48*[1]Consideration!$C$20,"")</f>
        <v>23.100367086376945</v>
      </c>
      <c r="AL48" s="31">
        <f t="shared" si="12"/>
        <v>368.51541788316405</v>
      </c>
      <c r="AM48" s="37"/>
      <c r="AN48" s="37"/>
      <c r="AO48" s="38"/>
    </row>
    <row r="49" spans="1:41" s="39" customFormat="1" ht="15.75" x14ac:dyDescent="0.25">
      <c r="A49" s="6" t="s">
        <v>141</v>
      </c>
      <c r="B49" s="7">
        <v>4</v>
      </c>
      <c r="C49" s="7" t="s">
        <v>142</v>
      </c>
      <c r="D49" s="7" t="s">
        <v>143</v>
      </c>
      <c r="E49" s="6" t="s">
        <v>144</v>
      </c>
      <c r="F49" s="40">
        <v>1</v>
      </c>
      <c r="G49" s="40">
        <v>1</v>
      </c>
      <c r="H49" s="26">
        <f>1526</f>
        <v>1526</v>
      </c>
      <c r="I49" s="28">
        <f>700+44+44</f>
        <v>788</v>
      </c>
      <c r="J49" s="28">
        <v>44</v>
      </c>
      <c r="K49" s="27">
        <v>3</v>
      </c>
      <c r="L49" s="27">
        <f>+H49+40+40+J49*2</f>
        <v>1694</v>
      </c>
      <c r="M49" s="27">
        <f>I49+J49*2+40*2</f>
        <v>956</v>
      </c>
      <c r="N49" s="28">
        <v>4</v>
      </c>
      <c r="O49" s="29">
        <v>1</v>
      </c>
      <c r="P49" s="30">
        <f t="shared" si="1"/>
        <v>6.8665273600000001</v>
      </c>
      <c r="Q49" s="14">
        <v>243</v>
      </c>
      <c r="R49" s="31">
        <f t="shared" si="2"/>
        <v>1668.56614848</v>
      </c>
      <c r="S49" s="32">
        <v>2.4140000000000001</v>
      </c>
      <c r="T49" s="33">
        <f t="shared" si="3"/>
        <v>4.4525273599999995</v>
      </c>
      <c r="U49" s="31">
        <f t="shared" si="4"/>
        <v>4.0072746239999999</v>
      </c>
      <c r="V49" s="34">
        <f>[1]RM_database!$F$40</f>
        <v>35</v>
      </c>
      <c r="W49" s="35">
        <f t="shared" si="5"/>
        <v>140.25461184</v>
      </c>
      <c r="X49" s="31">
        <f t="shared" si="6"/>
        <v>1528.31153664</v>
      </c>
      <c r="Y49" s="36">
        <v>3000</v>
      </c>
      <c r="Z49" s="20">
        <v>10</v>
      </c>
      <c r="AA49" s="31">
        <f t="shared" si="7"/>
        <v>1</v>
      </c>
      <c r="AB49" s="36">
        <f t="shared" si="8"/>
        <v>39.96</v>
      </c>
      <c r="AC49" s="31">
        <f t="shared" si="9"/>
        <v>75.075075075075077</v>
      </c>
      <c r="AD49" s="31">
        <v>4250</v>
      </c>
      <c r="AE49" s="14">
        <f>VLOOKUP(C49,'[1]CNC Trimming Cycle time'!C:R,16,0)</f>
        <v>78.667404552596935</v>
      </c>
      <c r="AF49" s="31">
        <f t="shared" si="10"/>
        <v>153.74247962767203</v>
      </c>
      <c r="AG49" s="31">
        <f t="shared" si="11"/>
        <v>1682.0540162676721</v>
      </c>
      <c r="AH49" s="31">
        <f>X49*[1]Consideration!$C$18</f>
        <v>34.387009574399997</v>
      </c>
      <c r="AI49" s="31">
        <f>X49*[1]Consideration!$C$17</f>
        <v>15.283115366400001</v>
      </c>
      <c r="AJ49" s="31">
        <f>IFERROR(AF49*[1]Consideration!$C$19,"")</f>
        <v>12.299398370213762</v>
      </c>
      <c r="AK49" s="31">
        <f>IFERROR(AG49*[1]Consideration!$C$20,"")</f>
        <v>117.74378113873706</v>
      </c>
      <c r="AL49" s="31">
        <f t="shared" si="12"/>
        <v>1861.767320717423</v>
      </c>
      <c r="AM49" s="37"/>
      <c r="AN49" s="37"/>
      <c r="AO49" s="38"/>
    </row>
    <row r="50" spans="1:41" s="39" customFormat="1" ht="15.75" x14ac:dyDescent="0.25">
      <c r="A50" s="6" t="s">
        <v>145</v>
      </c>
      <c r="B50" s="7">
        <v>3</v>
      </c>
      <c r="C50" s="7" t="s">
        <v>146</v>
      </c>
      <c r="D50" s="7" t="s">
        <v>42</v>
      </c>
      <c r="E50" s="6" t="s">
        <v>147</v>
      </c>
      <c r="F50" s="7">
        <v>1</v>
      </c>
      <c r="G50" s="40">
        <v>1</v>
      </c>
      <c r="H50" s="26">
        <v>1302</v>
      </c>
      <c r="I50" s="28">
        <v>645</v>
      </c>
      <c r="J50" s="28">
        <v>33.42</v>
      </c>
      <c r="K50" s="27">
        <v>3</v>
      </c>
      <c r="L50" s="27">
        <f>+H50+40+40+J50*2</f>
        <v>1448.84</v>
      </c>
      <c r="M50" s="27">
        <f>I50+J50*2+40*2</f>
        <v>791.84</v>
      </c>
      <c r="N50" s="28">
        <v>4</v>
      </c>
      <c r="O50" s="29">
        <v>1</v>
      </c>
      <c r="P50" s="30">
        <f t="shared" si="1"/>
        <v>4.8643377341440006</v>
      </c>
      <c r="Q50" s="14">
        <v>243</v>
      </c>
      <c r="R50" s="31">
        <f t="shared" si="2"/>
        <v>1182.0340693969922</v>
      </c>
      <c r="S50" s="32">
        <v>2.056</v>
      </c>
      <c r="T50" s="33">
        <f t="shared" si="3"/>
        <v>2.8083377341440006</v>
      </c>
      <c r="U50" s="31">
        <f t="shared" si="4"/>
        <v>2.5275039607296006</v>
      </c>
      <c r="V50" s="34">
        <f>[1]RM_database!$F$40</f>
        <v>35</v>
      </c>
      <c r="W50" s="35">
        <f t="shared" si="5"/>
        <v>88.462638625536016</v>
      </c>
      <c r="X50" s="31">
        <f t="shared" si="6"/>
        <v>1093.5714307714561</v>
      </c>
      <c r="Y50" s="36">
        <v>3000</v>
      </c>
      <c r="Z50" s="20">
        <v>10</v>
      </c>
      <c r="AA50" s="31">
        <f t="shared" si="7"/>
        <v>1</v>
      </c>
      <c r="AB50" s="36">
        <f t="shared" si="8"/>
        <v>39.96</v>
      </c>
      <c r="AC50" s="31">
        <f t="shared" si="9"/>
        <v>75.075075075075077</v>
      </c>
      <c r="AD50" s="31">
        <v>4250</v>
      </c>
      <c r="AE50" s="14">
        <f>VLOOKUP(C50,'[1]CNC Trimming Cycle time'!C:R,16,0)</f>
        <v>46.251784109086792</v>
      </c>
      <c r="AF50" s="31">
        <f t="shared" si="10"/>
        <v>121.32685918416186</v>
      </c>
      <c r="AG50" s="31">
        <f t="shared" si="11"/>
        <v>1214.8982899556179</v>
      </c>
      <c r="AH50" s="31">
        <f>X50*[1]Consideration!$C$18</f>
        <v>24.605357192357761</v>
      </c>
      <c r="AI50" s="31">
        <f>X50*[1]Consideration!$C$17</f>
        <v>10.93571430771456</v>
      </c>
      <c r="AJ50" s="31">
        <f>IFERROR(AF50*[1]Consideration!$C$19,"")</f>
        <v>9.7061487347329489</v>
      </c>
      <c r="AK50" s="31">
        <f>IFERROR(AG50*[1]Consideration!$C$20,"")</f>
        <v>85.042880296893259</v>
      </c>
      <c r="AL50" s="31">
        <f t="shared" si="12"/>
        <v>1345.1883904873166</v>
      </c>
      <c r="AM50" s="37"/>
      <c r="AN50" s="37"/>
      <c r="AO50" s="38"/>
    </row>
  </sheetData>
  <conditionalFormatting sqref="C2:C3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F901-7E2E-4406-8572-5759728987E4}">
  <dimension ref="A1:R65"/>
  <sheetViews>
    <sheetView workbookViewId="0">
      <selection activeCell="E24" sqref="E24"/>
    </sheetView>
  </sheetViews>
  <sheetFormatPr defaultRowHeight="15" x14ac:dyDescent="0.25"/>
  <sheetData>
    <row r="1" spans="1:18" s="41" customFormat="1" x14ac:dyDescent="0.25">
      <c r="A1" s="41" t="s">
        <v>148</v>
      </c>
      <c r="B1" s="42">
        <f>'[1]ABS Parts Calculation'!$AD$3/6.68</f>
        <v>636.22754491017963</v>
      </c>
    </row>
    <row r="2" spans="1:18" s="41" customFormat="1" x14ac:dyDescent="0.25">
      <c r="A2" s="41" t="s">
        <v>149</v>
      </c>
      <c r="B2" s="41">
        <v>410</v>
      </c>
      <c r="C2" s="41" t="s">
        <v>150</v>
      </c>
    </row>
    <row r="3" spans="1:18" s="41" customFormat="1" x14ac:dyDescent="0.25">
      <c r="A3" s="41" t="s">
        <v>151</v>
      </c>
      <c r="B3" s="41">
        <f>3150+1664+780+516+912+100</f>
        <v>7122</v>
      </c>
      <c r="C3" s="41" t="s">
        <v>152</v>
      </c>
    </row>
    <row r="4" spans="1:18" s="41" customFormat="1" x14ac:dyDescent="0.25">
      <c r="A4" s="41" t="s">
        <v>153</v>
      </c>
      <c r="B4" s="41">
        <v>32</v>
      </c>
    </row>
    <row r="5" spans="1:18" s="41" customFormat="1" x14ac:dyDescent="0.25">
      <c r="A5" s="41" t="s">
        <v>154</v>
      </c>
      <c r="B5" s="41">
        <v>4</v>
      </c>
    </row>
    <row r="6" spans="1:18" s="41" customFormat="1" x14ac:dyDescent="0.25">
      <c r="A6" s="41" t="s">
        <v>155</v>
      </c>
      <c r="B6" s="41">
        <f>B4*B5</f>
        <v>128</v>
      </c>
      <c r="C6" s="41" t="s">
        <v>156</v>
      </c>
    </row>
    <row r="7" spans="1:18" s="41" customFormat="1" x14ac:dyDescent="0.25">
      <c r="A7" s="41" t="s">
        <v>157</v>
      </c>
      <c r="B7" s="41">
        <f>B2-B6</f>
        <v>282</v>
      </c>
      <c r="C7" s="41" t="s">
        <v>156</v>
      </c>
    </row>
    <row r="8" spans="1:18" s="41" customFormat="1" x14ac:dyDescent="0.25">
      <c r="A8" s="41" t="s">
        <v>158</v>
      </c>
      <c r="B8" s="43">
        <f>B3/B7</f>
        <v>25.25531914893617</v>
      </c>
      <c r="C8" s="41" t="s">
        <v>159</v>
      </c>
    </row>
    <row r="9" spans="1:18" s="41" customFormat="1" x14ac:dyDescent="0.25"/>
    <row r="10" spans="1:18" s="47" customFormat="1" ht="60" x14ac:dyDescent="0.25">
      <c r="A10" s="1" t="s">
        <v>0</v>
      </c>
      <c r="B10" s="1" t="s">
        <v>1</v>
      </c>
      <c r="C10" s="2" t="s">
        <v>2</v>
      </c>
      <c r="D10" s="1" t="s">
        <v>3</v>
      </c>
      <c r="E10" s="1" t="s">
        <v>4</v>
      </c>
      <c r="F10" s="44" t="s">
        <v>160</v>
      </c>
      <c r="G10" s="44" t="s">
        <v>161</v>
      </c>
      <c r="H10" s="44" t="s">
        <v>162</v>
      </c>
      <c r="I10" s="44" t="s">
        <v>163</v>
      </c>
      <c r="J10" s="44" t="s">
        <v>164</v>
      </c>
      <c r="K10" s="44" t="s">
        <v>165</v>
      </c>
      <c r="L10" s="44" t="s">
        <v>166</v>
      </c>
      <c r="M10" s="45" t="s">
        <v>167</v>
      </c>
      <c r="N10" s="44" t="s">
        <v>168</v>
      </c>
      <c r="O10" s="45" t="s">
        <v>27</v>
      </c>
      <c r="P10" s="46" t="s">
        <v>169</v>
      </c>
      <c r="Q10" s="46" t="s">
        <v>170</v>
      </c>
      <c r="R10" s="44" t="s">
        <v>171</v>
      </c>
    </row>
    <row r="11" spans="1:18" s="41" customFormat="1" x14ac:dyDescent="0.25">
      <c r="A11" s="6" t="s">
        <v>37</v>
      </c>
      <c r="B11" s="7">
        <v>3</v>
      </c>
      <c r="C11" s="7" t="s">
        <v>38</v>
      </c>
      <c r="D11" s="7" t="s">
        <v>39</v>
      </c>
      <c r="E11" s="6" t="s">
        <v>40</v>
      </c>
      <c r="F11" s="23">
        <v>805</v>
      </c>
      <c r="G11" s="23">
        <v>109</v>
      </c>
      <c r="H11" s="23">
        <v>1</v>
      </c>
      <c r="I11" s="48">
        <f t="shared" ref="I11:I51" si="0">+(+F11+G11)*2</f>
        <v>1828</v>
      </c>
      <c r="J11" s="49">
        <f t="shared" ref="J11:J65" si="1">I11*H11</f>
        <v>1828</v>
      </c>
      <c r="K11" s="23">
        <v>5</v>
      </c>
      <c r="L11" s="50">
        <f>J11*($B$8)/1000+(K11*$B$5)</f>
        <v>66.166723404255322</v>
      </c>
      <c r="M11" s="49">
        <f>40*H11</f>
        <v>40</v>
      </c>
      <c r="N11" s="51">
        <f>L11+M11</f>
        <v>106.16672340425532</v>
      </c>
      <c r="O11" s="52">
        <f>(N11/3600)*$B$1</f>
        <v>18.762831606290963</v>
      </c>
      <c r="P11" s="49">
        <f>(3*75/60)*H11</f>
        <v>3.75</v>
      </c>
      <c r="Q11" s="49">
        <f>(2*75/60)*H11</f>
        <v>2.5</v>
      </c>
      <c r="R11" s="52">
        <f>Q11+P11+O11</f>
        <v>25.012831606290963</v>
      </c>
    </row>
    <row r="12" spans="1:18" s="41" customFormat="1" x14ac:dyDescent="0.25">
      <c r="A12" s="6" t="s">
        <v>37</v>
      </c>
      <c r="B12" s="7">
        <v>3</v>
      </c>
      <c r="C12" s="7" t="s">
        <v>41</v>
      </c>
      <c r="D12" s="7" t="s">
        <v>42</v>
      </c>
      <c r="E12" s="6" t="s">
        <v>43</v>
      </c>
      <c r="F12" s="23">
        <v>767</v>
      </c>
      <c r="G12" s="23">
        <v>112</v>
      </c>
      <c r="H12" s="23">
        <v>1</v>
      </c>
      <c r="I12" s="48">
        <f t="shared" si="0"/>
        <v>1758</v>
      </c>
      <c r="J12" s="49">
        <f t="shared" si="1"/>
        <v>1758</v>
      </c>
      <c r="K12" s="23">
        <v>5</v>
      </c>
      <c r="L12" s="50">
        <f t="shared" ref="L12:L65" si="2">J12*($B$8)/1000+(K12*$B$5)</f>
        <v>64.398851063829795</v>
      </c>
      <c r="M12" s="49">
        <f t="shared" ref="M12:M65" si="3">40*H12</f>
        <v>40</v>
      </c>
      <c r="N12" s="51">
        <f t="shared" ref="N12:N65" si="4">L12+M12</f>
        <v>104.3988510638298</v>
      </c>
      <c r="O12" s="52">
        <f t="shared" ref="O12:O65" si="5">(N12/3600)*$B$1</f>
        <v>18.45039575105109</v>
      </c>
      <c r="P12" s="49">
        <f t="shared" ref="P12:P65" si="6">(3*75/60)*H12</f>
        <v>3.75</v>
      </c>
      <c r="Q12" s="49">
        <f t="shared" ref="Q12:Q65" si="7">(2*75/60)*H12</f>
        <v>2.5</v>
      </c>
      <c r="R12" s="52">
        <f t="shared" ref="R12:R65" si="8">Q12+P12+O12</f>
        <v>24.70039575105109</v>
      </c>
    </row>
    <row r="13" spans="1:18" s="41" customFormat="1" x14ac:dyDescent="0.25">
      <c r="A13" s="6" t="s">
        <v>44</v>
      </c>
      <c r="B13" s="7">
        <v>3</v>
      </c>
      <c r="C13" s="7" t="s">
        <v>45</v>
      </c>
      <c r="D13" s="7" t="s">
        <v>42</v>
      </c>
      <c r="E13" s="6" t="s">
        <v>46</v>
      </c>
      <c r="F13" s="23">
        <v>1338</v>
      </c>
      <c r="G13" s="23">
        <v>686</v>
      </c>
      <c r="H13" s="23">
        <v>1</v>
      </c>
      <c r="I13" s="48">
        <f t="shared" si="0"/>
        <v>4048</v>
      </c>
      <c r="J13" s="49">
        <f t="shared" si="1"/>
        <v>4048</v>
      </c>
      <c r="K13" s="23">
        <v>8</v>
      </c>
      <c r="L13" s="50">
        <f t="shared" si="2"/>
        <v>134.2335319148936</v>
      </c>
      <c r="M13" s="49">
        <f t="shared" si="3"/>
        <v>40</v>
      </c>
      <c r="N13" s="51">
        <f t="shared" si="4"/>
        <v>174.2335319148936</v>
      </c>
      <c r="O13" s="52">
        <f t="shared" si="5"/>
        <v>30.792270069789495</v>
      </c>
      <c r="P13" s="49">
        <f t="shared" si="6"/>
        <v>3.75</v>
      </c>
      <c r="Q13" s="49">
        <f t="shared" si="7"/>
        <v>2.5</v>
      </c>
      <c r="R13" s="52">
        <f t="shared" si="8"/>
        <v>37.042270069789495</v>
      </c>
    </row>
    <row r="14" spans="1:18" s="41" customFormat="1" x14ac:dyDescent="0.25">
      <c r="A14" s="6" t="s">
        <v>47</v>
      </c>
      <c r="B14" s="7">
        <v>3</v>
      </c>
      <c r="C14" s="7" t="s">
        <v>48</v>
      </c>
      <c r="D14" s="7" t="s">
        <v>42</v>
      </c>
      <c r="E14" s="6" t="s">
        <v>49</v>
      </c>
      <c r="F14" s="23">
        <f>1180+186</f>
        <v>1366</v>
      </c>
      <c r="G14" s="23">
        <v>753</v>
      </c>
      <c r="H14" s="23">
        <v>1</v>
      </c>
      <c r="I14" s="48">
        <f t="shared" si="0"/>
        <v>4238</v>
      </c>
      <c r="J14" s="49">
        <f t="shared" si="1"/>
        <v>4238</v>
      </c>
      <c r="K14" s="23">
        <v>20</v>
      </c>
      <c r="L14" s="50">
        <f t="shared" si="2"/>
        <v>187.0320425531915</v>
      </c>
      <c r="M14" s="49">
        <f t="shared" si="3"/>
        <v>40</v>
      </c>
      <c r="N14" s="51">
        <f t="shared" si="4"/>
        <v>227.0320425531915</v>
      </c>
      <c r="O14" s="52">
        <f t="shared" si="5"/>
        <v>40.123344180433456</v>
      </c>
      <c r="P14" s="49">
        <f t="shared" si="6"/>
        <v>3.75</v>
      </c>
      <c r="Q14" s="49">
        <f t="shared" si="7"/>
        <v>2.5</v>
      </c>
      <c r="R14" s="52">
        <f t="shared" si="8"/>
        <v>46.373344180433456</v>
      </c>
    </row>
    <row r="15" spans="1:18" s="41" customFormat="1" x14ac:dyDescent="0.25">
      <c r="A15" s="6" t="s">
        <v>44</v>
      </c>
      <c r="B15" s="7">
        <v>3</v>
      </c>
      <c r="C15" s="7" t="s">
        <v>50</v>
      </c>
      <c r="D15" s="7" t="s">
        <v>42</v>
      </c>
      <c r="E15" s="6" t="s">
        <v>51</v>
      </c>
      <c r="F15" s="23">
        <v>1338</v>
      </c>
      <c r="G15" s="23">
        <v>686</v>
      </c>
      <c r="H15" s="23">
        <v>1</v>
      </c>
      <c r="I15" s="48">
        <f t="shared" si="0"/>
        <v>4048</v>
      </c>
      <c r="J15" s="49">
        <f t="shared" si="1"/>
        <v>4048</v>
      </c>
      <c r="K15" s="23">
        <v>8</v>
      </c>
      <c r="L15" s="50">
        <f t="shared" si="2"/>
        <v>134.2335319148936</v>
      </c>
      <c r="M15" s="49">
        <f t="shared" si="3"/>
        <v>40</v>
      </c>
      <c r="N15" s="51">
        <f t="shared" si="4"/>
        <v>174.2335319148936</v>
      </c>
      <c r="O15" s="52">
        <f t="shared" si="5"/>
        <v>30.792270069789495</v>
      </c>
      <c r="P15" s="49">
        <f t="shared" si="6"/>
        <v>3.75</v>
      </c>
      <c r="Q15" s="49">
        <f t="shared" si="7"/>
        <v>2.5</v>
      </c>
      <c r="R15" s="52">
        <f t="shared" si="8"/>
        <v>37.042270069789495</v>
      </c>
    </row>
    <row r="16" spans="1:18" s="41" customFormat="1" x14ac:dyDescent="0.25">
      <c r="A16" s="6" t="s">
        <v>44</v>
      </c>
      <c r="B16" s="7">
        <v>3</v>
      </c>
      <c r="C16" s="7" t="s">
        <v>52</v>
      </c>
      <c r="D16" s="7" t="s">
        <v>42</v>
      </c>
      <c r="E16" s="6" t="s">
        <v>53</v>
      </c>
      <c r="F16" s="23">
        <v>1338</v>
      </c>
      <c r="G16" s="23">
        <v>686</v>
      </c>
      <c r="H16" s="23">
        <v>1</v>
      </c>
      <c r="I16" s="48">
        <f t="shared" si="0"/>
        <v>4048</v>
      </c>
      <c r="J16" s="49">
        <f t="shared" si="1"/>
        <v>4048</v>
      </c>
      <c r="K16" s="23">
        <v>10</v>
      </c>
      <c r="L16" s="50">
        <f t="shared" si="2"/>
        <v>142.2335319148936</v>
      </c>
      <c r="M16" s="49">
        <f t="shared" si="3"/>
        <v>40</v>
      </c>
      <c r="N16" s="51">
        <f t="shared" si="4"/>
        <v>182.2335319148936</v>
      </c>
      <c r="O16" s="52">
        <f t="shared" si="5"/>
        <v>32.206109058478788</v>
      </c>
      <c r="P16" s="49">
        <f t="shared" si="6"/>
        <v>3.75</v>
      </c>
      <c r="Q16" s="49">
        <f t="shared" si="7"/>
        <v>2.5</v>
      </c>
      <c r="R16" s="52">
        <f t="shared" si="8"/>
        <v>38.456109058478788</v>
      </c>
    </row>
    <row r="17" spans="1:18" s="41" customFormat="1" x14ac:dyDescent="0.25">
      <c r="A17" s="6" t="s">
        <v>44</v>
      </c>
      <c r="B17" s="7">
        <v>3</v>
      </c>
      <c r="C17" s="7" t="s">
        <v>54</v>
      </c>
      <c r="D17" s="7" t="s">
        <v>42</v>
      </c>
      <c r="E17" s="6" t="s">
        <v>55</v>
      </c>
      <c r="F17" s="23">
        <v>1356</v>
      </c>
      <c r="G17" s="23">
        <v>686</v>
      </c>
      <c r="H17" s="23">
        <v>1</v>
      </c>
      <c r="I17" s="48">
        <f t="shared" si="0"/>
        <v>4084</v>
      </c>
      <c r="J17" s="49">
        <f t="shared" si="1"/>
        <v>4084</v>
      </c>
      <c r="K17" s="23">
        <v>9</v>
      </c>
      <c r="L17" s="50">
        <f t="shared" si="2"/>
        <v>139.14272340425532</v>
      </c>
      <c r="M17" s="49">
        <f t="shared" si="3"/>
        <v>40</v>
      </c>
      <c r="N17" s="51">
        <f t="shared" si="4"/>
        <v>179.14272340425532</v>
      </c>
      <c r="O17" s="52">
        <f t="shared" si="5"/>
        <v>31.659870861114651</v>
      </c>
      <c r="P17" s="49">
        <f t="shared" si="6"/>
        <v>3.75</v>
      </c>
      <c r="Q17" s="49">
        <f t="shared" si="7"/>
        <v>2.5</v>
      </c>
      <c r="R17" s="52">
        <f t="shared" si="8"/>
        <v>37.909870861114655</v>
      </c>
    </row>
    <row r="18" spans="1:18" s="41" customFormat="1" x14ac:dyDescent="0.25">
      <c r="A18" s="6" t="s">
        <v>44</v>
      </c>
      <c r="B18" s="7">
        <v>3</v>
      </c>
      <c r="C18" s="7" t="s">
        <v>56</v>
      </c>
      <c r="D18" s="7" t="s">
        <v>42</v>
      </c>
      <c r="E18" s="6" t="s">
        <v>57</v>
      </c>
      <c r="F18" s="23">
        <v>1338</v>
      </c>
      <c r="G18" s="23">
        <v>686</v>
      </c>
      <c r="H18" s="23">
        <v>1</v>
      </c>
      <c r="I18" s="48">
        <f t="shared" si="0"/>
        <v>4048</v>
      </c>
      <c r="J18" s="49">
        <f t="shared" si="1"/>
        <v>4048</v>
      </c>
      <c r="K18" s="23">
        <v>9</v>
      </c>
      <c r="L18" s="50">
        <f>J18*($B$8)/1000+(K18*$B$5)</f>
        <v>138.2335319148936</v>
      </c>
      <c r="M18" s="49">
        <f t="shared" si="3"/>
        <v>40</v>
      </c>
      <c r="N18" s="51">
        <f t="shared" si="4"/>
        <v>178.2335319148936</v>
      </c>
      <c r="O18" s="52">
        <f t="shared" si="5"/>
        <v>31.499189564134142</v>
      </c>
      <c r="P18" s="49">
        <f t="shared" si="6"/>
        <v>3.75</v>
      </c>
      <c r="Q18" s="49">
        <f t="shared" si="7"/>
        <v>2.5</v>
      </c>
      <c r="R18" s="52">
        <f t="shared" si="8"/>
        <v>37.749189564134142</v>
      </c>
    </row>
    <row r="19" spans="1:18" s="41" customFormat="1" x14ac:dyDescent="0.25">
      <c r="A19" s="6" t="s">
        <v>44</v>
      </c>
      <c r="B19" s="7">
        <v>3</v>
      </c>
      <c r="C19" s="7" t="s">
        <v>58</v>
      </c>
      <c r="D19" s="7" t="s">
        <v>42</v>
      </c>
      <c r="E19" s="6" t="s">
        <v>59</v>
      </c>
      <c r="F19" s="23">
        <v>1124</v>
      </c>
      <c r="G19" s="23">
        <v>686</v>
      </c>
      <c r="H19" s="23">
        <v>1</v>
      </c>
      <c r="I19" s="48">
        <f t="shared" si="0"/>
        <v>3620</v>
      </c>
      <c r="J19" s="49">
        <f t="shared" si="1"/>
        <v>3620</v>
      </c>
      <c r="K19" s="23">
        <v>7</v>
      </c>
      <c r="L19" s="50">
        <f t="shared" si="2"/>
        <v>119.42425531914894</v>
      </c>
      <c r="M19" s="49">
        <f t="shared" si="3"/>
        <v>40</v>
      </c>
      <c r="N19" s="51">
        <f t="shared" si="4"/>
        <v>159.42425531914893</v>
      </c>
      <c r="O19" s="52">
        <f t="shared" si="5"/>
        <v>28.175028489121047</v>
      </c>
      <c r="P19" s="49">
        <f t="shared" si="6"/>
        <v>3.75</v>
      </c>
      <c r="Q19" s="49">
        <f t="shared" si="7"/>
        <v>2.5</v>
      </c>
      <c r="R19" s="52">
        <f t="shared" si="8"/>
        <v>34.425028489121047</v>
      </c>
    </row>
    <row r="20" spans="1:18" s="41" customFormat="1" x14ac:dyDescent="0.25">
      <c r="A20" s="6" t="s">
        <v>44</v>
      </c>
      <c r="B20" s="7">
        <v>3</v>
      </c>
      <c r="C20" s="7" t="s">
        <v>60</v>
      </c>
      <c r="D20" s="7" t="s">
        <v>42</v>
      </c>
      <c r="E20" s="6" t="s">
        <v>61</v>
      </c>
      <c r="F20" s="23">
        <v>1139</v>
      </c>
      <c r="G20" s="23">
        <v>686</v>
      </c>
      <c r="H20" s="23">
        <v>1</v>
      </c>
      <c r="I20" s="48">
        <f>+(+F20+G20)*2</f>
        <v>3650</v>
      </c>
      <c r="J20" s="49">
        <f>I20*H20</f>
        <v>3650</v>
      </c>
      <c r="K20" s="23">
        <v>8</v>
      </c>
      <c r="L20" s="50">
        <f t="shared" si="2"/>
        <v>124.18191489361702</v>
      </c>
      <c r="M20" s="49">
        <f t="shared" si="3"/>
        <v>40</v>
      </c>
      <c r="N20" s="51">
        <f t="shared" si="4"/>
        <v>164.18191489361703</v>
      </c>
      <c r="O20" s="52">
        <f t="shared" si="5"/>
        <v>29.015849064282783</v>
      </c>
      <c r="P20" s="49">
        <f t="shared" si="6"/>
        <v>3.75</v>
      </c>
      <c r="Q20" s="49">
        <f t="shared" si="7"/>
        <v>2.5</v>
      </c>
      <c r="R20" s="52">
        <f t="shared" si="8"/>
        <v>35.265849064282783</v>
      </c>
    </row>
    <row r="21" spans="1:18" s="41" customFormat="1" x14ac:dyDescent="0.25">
      <c r="A21" s="6" t="s">
        <v>44</v>
      </c>
      <c r="B21" s="7">
        <v>3</v>
      </c>
      <c r="C21" s="7" t="s">
        <v>62</v>
      </c>
      <c r="D21" s="7" t="s">
        <v>42</v>
      </c>
      <c r="E21" s="6" t="s">
        <v>63</v>
      </c>
      <c r="F21" s="23">
        <v>1356</v>
      </c>
      <c r="G21" s="23">
        <v>686</v>
      </c>
      <c r="H21" s="23">
        <v>1</v>
      </c>
      <c r="I21" s="48">
        <f t="shared" si="0"/>
        <v>4084</v>
      </c>
      <c r="J21" s="49">
        <f t="shared" si="1"/>
        <v>4084</v>
      </c>
      <c r="K21" s="23">
        <v>8</v>
      </c>
      <c r="L21" s="50">
        <f t="shared" si="2"/>
        <v>135.14272340425532</v>
      </c>
      <c r="M21" s="49">
        <f t="shared" si="3"/>
        <v>40</v>
      </c>
      <c r="N21" s="51">
        <f t="shared" si="4"/>
        <v>175.14272340425532</v>
      </c>
      <c r="O21" s="52">
        <f t="shared" si="5"/>
        <v>30.952951366770009</v>
      </c>
      <c r="P21" s="49">
        <f t="shared" si="6"/>
        <v>3.75</v>
      </c>
      <c r="Q21" s="49">
        <f t="shared" si="7"/>
        <v>2.5</v>
      </c>
      <c r="R21" s="52">
        <f t="shared" si="8"/>
        <v>37.202951366770009</v>
      </c>
    </row>
    <row r="22" spans="1:18" s="41" customFormat="1" x14ac:dyDescent="0.25">
      <c r="A22" s="6" t="s">
        <v>64</v>
      </c>
      <c r="B22" s="7">
        <v>3</v>
      </c>
      <c r="C22" s="7" t="s">
        <v>65</v>
      </c>
      <c r="D22" s="7" t="s">
        <v>66</v>
      </c>
      <c r="E22" s="6" t="s">
        <v>67</v>
      </c>
      <c r="F22" s="23">
        <v>700</v>
      </c>
      <c r="G22" s="23">
        <v>1300</v>
      </c>
      <c r="H22" s="23">
        <v>1</v>
      </c>
      <c r="I22" s="48">
        <f t="shared" si="0"/>
        <v>4000</v>
      </c>
      <c r="J22" s="49">
        <f t="shared" si="1"/>
        <v>4000</v>
      </c>
      <c r="K22" s="23">
        <v>8</v>
      </c>
      <c r="L22" s="50">
        <f t="shared" si="2"/>
        <v>133.02127659574467</v>
      </c>
      <c r="M22" s="49">
        <f t="shared" si="3"/>
        <v>40</v>
      </c>
      <c r="N22" s="51">
        <f t="shared" si="4"/>
        <v>173.02127659574467</v>
      </c>
      <c r="O22" s="52">
        <f t="shared" si="5"/>
        <v>30.578028340482152</v>
      </c>
      <c r="P22" s="49">
        <f t="shared" si="6"/>
        <v>3.75</v>
      </c>
      <c r="Q22" s="49">
        <f t="shared" si="7"/>
        <v>2.5</v>
      </c>
      <c r="R22" s="52">
        <f t="shared" si="8"/>
        <v>36.828028340482149</v>
      </c>
    </row>
    <row r="23" spans="1:18" s="41" customFormat="1" x14ac:dyDescent="0.25">
      <c r="A23" s="6" t="s">
        <v>64</v>
      </c>
      <c r="B23" s="7">
        <v>3</v>
      </c>
      <c r="C23" s="7" t="s">
        <v>71</v>
      </c>
      <c r="D23" s="7" t="s">
        <v>42</v>
      </c>
      <c r="E23" s="6" t="s">
        <v>72</v>
      </c>
      <c r="F23" s="23">
        <v>782</v>
      </c>
      <c r="G23" s="23">
        <v>202</v>
      </c>
      <c r="H23" s="23">
        <v>1</v>
      </c>
      <c r="I23" s="48">
        <f t="shared" si="0"/>
        <v>1968</v>
      </c>
      <c r="J23" s="49">
        <f t="shared" si="1"/>
        <v>1968</v>
      </c>
      <c r="K23" s="23">
        <v>6</v>
      </c>
      <c r="L23" s="50">
        <f t="shared" si="2"/>
        <v>73.702468085106375</v>
      </c>
      <c r="M23" s="49">
        <f t="shared" si="3"/>
        <v>40</v>
      </c>
      <c r="N23" s="51">
        <f t="shared" si="4"/>
        <v>113.70246808510637</v>
      </c>
      <c r="O23" s="52">
        <f t="shared" si="5"/>
        <v>20.094622811115357</v>
      </c>
      <c r="P23" s="49">
        <f t="shared" si="6"/>
        <v>3.75</v>
      </c>
      <c r="Q23" s="49">
        <f t="shared" si="7"/>
        <v>2.5</v>
      </c>
      <c r="R23" s="52">
        <f t="shared" si="8"/>
        <v>26.344622811115357</v>
      </c>
    </row>
    <row r="24" spans="1:18" s="41" customFormat="1" x14ac:dyDescent="0.25">
      <c r="A24" s="6" t="s">
        <v>74</v>
      </c>
      <c r="B24" s="7">
        <v>3</v>
      </c>
      <c r="C24" s="7" t="s">
        <v>75</v>
      </c>
      <c r="D24" s="7" t="s">
        <v>42</v>
      </c>
      <c r="E24" s="6" t="s">
        <v>76</v>
      </c>
      <c r="F24" s="23">
        <v>888</v>
      </c>
      <c r="G24" s="23">
        <v>642</v>
      </c>
      <c r="H24" s="23">
        <v>1</v>
      </c>
      <c r="I24" s="48">
        <f t="shared" si="0"/>
        <v>3060</v>
      </c>
      <c r="J24" s="49">
        <f t="shared" si="1"/>
        <v>3060</v>
      </c>
      <c r="K24" s="23">
        <v>5</v>
      </c>
      <c r="L24" s="50">
        <f t="shared" si="2"/>
        <v>97.281276595744686</v>
      </c>
      <c r="M24" s="49">
        <f t="shared" si="3"/>
        <v>40</v>
      </c>
      <c r="N24" s="51">
        <f t="shared" si="4"/>
        <v>137.28127659574469</v>
      </c>
      <c r="O24" s="52">
        <f t="shared" si="5"/>
        <v>24.26170265851276</v>
      </c>
      <c r="P24" s="49">
        <f t="shared" si="6"/>
        <v>3.75</v>
      </c>
      <c r="Q24" s="49">
        <f t="shared" si="7"/>
        <v>2.5</v>
      </c>
      <c r="R24" s="52">
        <f t="shared" si="8"/>
        <v>30.51170265851276</v>
      </c>
    </row>
    <row r="25" spans="1:18" s="41" customFormat="1" x14ac:dyDescent="0.25">
      <c r="A25" s="6" t="s">
        <v>47</v>
      </c>
      <c r="B25" s="7">
        <v>3</v>
      </c>
      <c r="C25" s="7" t="s">
        <v>79</v>
      </c>
      <c r="D25" s="7" t="s">
        <v>42</v>
      </c>
      <c r="E25" s="6" t="s">
        <v>80</v>
      </c>
      <c r="F25" s="23">
        <v>1152</v>
      </c>
      <c r="G25" s="23">
        <v>164</v>
      </c>
      <c r="H25" s="23">
        <v>1</v>
      </c>
      <c r="I25" s="48">
        <f t="shared" si="0"/>
        <v>2632</v>
      </c>
      <c r="J25" s="49">
        <f t="shared" si="1"/>
        <v>2632</v>
      </c>
      <c r="K25" s="23">
        <v>5</v>
      </c>
      <c r="L25" s="50">
        <f t="shared" si="2"/>
        <v>86.471999999999994</v>
      </c>
      <c r="M25" s="49">
        <f t="shared" si="3"/>
        <v>40</v>
      </c>
      <c r="N25" s="51">
        <f t="shared" si="4"/>
        <v>126.47199999999999</v>
      </c>
      <c r="O25" s="52">
        <f t="shared" si="5"/>
        <v>22.351380572188955</v>
      </c>
      <c r="P25" s="49">
        <f t="shared" si="6"/>
        <v>3.75</v>
      </c>
      <c r="Q25" s="49">
        <f t="shared" si="7"/>
        <v>2.5</v>
      </c>
      <c r="R25" s="52">
        <f t="shared" si="8"/>
        <v>28.601380572188955</v>
      </c>
    </row>
    <row r="26" spans="1:18" s="41" customFormat="1" x14ac:dyDescent="0.25">
      <c r="A26" s="6" t="s">
        <v>47</v>
      </c>
      <c r="B26" s="7">
        <v>3</v>
      </c>
      <c r="C26" s="7" t="s">
        <v>81</v>
      </c>
      <c r="D26" s="7" t="s">
        <v>42</v>
      </c>
      <c r="E26" s="6" t="s">
        <v>80</v>
      </c>
      <c r="F26" s="23">
        <v>1152</v>
      </c>
      <c r="G26" s="23">
        <v>164</v>
      </c>
      <c r="H26" s="23">
        <v>1</v>
      </c>
      <c r="I26" s="48">
        <f t="shared" si="0"/>
        <v>2632</v>
      </c>
      <c r="J26" s="49">
        <f t="shared" si="1"/>
        <v>2632</v>
      </c>
      <c r="K26" s="23">
        <v>5</v>
      </c>
      <c r="L26" s="50">
        <f t="shared" si="2"/>
        <v>86.471999999999994</v>
      </c>
      <c r="M26" s="49">
        <f t="shared" si="3"/>
        <v>40</v>
      </c>
      <c r="N26" s="51">
        <f t="shared" si="4"/>
        <v>126.47199999999999</v>
      </c>
      <c r="O26" s="52">
        <f t="shared" si="5"/>
        <v>22.351380572188955</v>
      </c>
      <c r="P26" s="49">
        <f t="shared" si="6"/>
        <v>3.75</v>
      </c>
      <c r="Q26" s="49">
        <f t="shared" si="7"/>
        <v>2.5</v>
      </c>
      <c r="R26" s="52">
        <f t="shared" si="8"/>
        <v>28.601380572188955</v>
      </c>
    </row>
    <row r="27" spans="1:18" s="41" customFormat="1" x14ac:dyDescent="0.25">
      <c r="A27" s="24" t="s">
        <v>47</v>
      </c>
      <c r="B27" s="25">
        <v>3</v>
      </c>
      <c r="C27" s="25" t="s">
        <v>82</v>
      </c>
      <c r="D27" s="7" t="s">
        <v>42</v>
      </c>
      <c r="E27" s="6" t="s">
        <v>83</v>
      </c>
      <c r="F27" s="23">
        <v>1152</v>
      </c>
      <c r="G27" s="23">
        <v>164</v>
      </c>
      <c r="H27" s="23">
        <v>1</v>
      </c>
      <c r="I27" s="48">
        <f>+(+F27+G27)*2</f>
        <v>2632</v>
      </c>
      <c r="J27" s="49">
        <f>I27*H27</f>
        <v>2632</v>
      </c>
      <c r="K27" s="23">
        <v>5</v>
      </c>
      <c r="L27" s="50">
        <f t="shared" si="2"/>
        <v>86.471999999999994</v>
      </c>
      <c r="M27" s="49">
        <f t="shared" si="3"/>
        <v>40</v>
      </c>
      <c r="N27" s="51">
        <f t="shared" si="4"/>
        <v>126.47199999999999</v>
      </c>
      <c r="O27" s="52">
        <f t="shared" si="5"/>
        <v>22.351380572188955</v>
      </c>
      <c r="P27" s="49">
        <f t="shared" si="6"/>
        <v>3.75</v>
      </c>
      <c r="Q27" s="49">
        <f t="shared" si="7"/>
        <v>2.5</v>
      </c>
      <c r="R27" s="52">
        <f t="shared" si="8"/>
        <v>28.601380572188955</v>
      </c>
    </row>
    <row r="28" spans="1:18" s="41" customFormat="1" x14ac:dyDescent="0.25">
      <c r="A28" s="6" t="s">
        <v>47</v>
      </c>
      <c r="B28" s="7">
        <v>3</v>
      </c>
      <c r="C28" s="7" t="s">
        <v>84</v>
      </c>
      <c r="D28" s="7" t="s">
        <v>42</v>
      </c>
      <c r="E28" s="6" t="s">
        <v>85</v>
      </c>
      <c r="F28" s="23">
        <v>600</v>
      </c>
      <c r="G28" s="23">
        <v>116</v>
      </c>
      <c r="H28" s="6">
        <v>1</v>
      </c>
      <c r="I28" s="48">
        <f t="shared" si="0"/>
        <v>1432</v>
      </c>
      <c r="J28" s="49">
        <f t="shared" si="1"/>
        <v>1432</v>
      </c>
      <c r="K28" s="6">
        <v>4</v>
      </c>
      <c r="L28" s="50">
        <f t="shared" si="2"/>
        <v>52.165617021276596</v>
      </c>
      <c r="M28" s="49">
        <f t="shared" si="3"/>
        <v>40</v>
      </c>
      <c r="N28" s="51">
        <f t="shared" si="4"/>
        <v>92.165617021276603</v>
      </c>
      <c r="O28" s="52">
        <f t="shared" si="5"/>
        <v>16.288417845160744</v>
      </c>
      <c r="P28" s="49">
        <f t="shared" si="6"/>
        <v>3.75</v>
      </c>
      <c r="Q28" s="49">
        <f t="shared" si="7"/>
        <v>2.5</v>
      </c>
      <c r="R28" s="52">
        <f t="shared" si="8"/>
        <v>22.538417845160744</v>
      </c>
    </row>
    <row r="29" spans="1:18" s="41" customFormat="1" x14ac:dyDescent="0.25">
      <c r="A29" s="6" t="s">
        <v>47</v>
      </c>
      <c r="B29" s="7">
        <v>3</v>
      </c>
      <c r="C29" s="7" t="s">
        <v>172</v>
      </c>
      <c r="D29" s="7" t="s">
        <v>42</v>
      </c>
      <c r="E29" s="6" t="s">
        <v>173</v>
      </c>
      <c r="F29" s="23">
        <v>1345</v>
      </c>
      <c r="G29" s="23">
        <v>755</v>
      </c>
      <c r="H29" s="6">
        <v>1</v>
      </c>
      <c r="I29" s="48">
        <f t="shared" si="0"/>
        <v>4200</v>
      </c>
      <c r="J29" s="49">
        <f t="shared" si="1"/>
        <v>4200</v>
      </c>
      <c r="K29" s="6">
        <v>7</v>
      </c>
      <c r="L29" s="50">
        <f t="shared" si="2"/>
        <v>134.07234042553193</v>
      </c>
      <c r="M29" s="49">
        <f t="shared" si="3"/>
        <v>40</v>
      </c>
      <c r="N29" s="51">
        <f t="shared" si="4"/>
        <v>174.07234042553193</v>
      </c>
      <c r="O29" s="52">
        <f t="shared" si="5"/>
        <v>30.763782718251441</v>
      </c>
      <c r="P29" s="49">
        <f t="shared" si="6"/>
        <v>3.75</v>
      </c>
      <c r="Q29" s="49">
        <f t="shared" si="7"/>
        <v>2.5</v>
      </c>
      <c r="R29" s="52">
        <f t="shared" si="8"/>
        <v>37.013782718251441</v>
      </c>
    </row>
    <row r="30" spans="1:18" s="41" customFormat="1" x14ac:dyDescent="0.25">
      <c r="A30" s="6" t="s">
        <v>47</v>
      </c>
      <c r="B30" s="7">
        <v>3</v>
      </c>
      <c r="C30" s="7" t="s">
        <v>86</v>
      </c>
      <c r="D30" s="7" t="s">
        <v>42</v>
      </c>
      <c r="E30" s="6" t="s">
        <v>87</v>
      </c>
      <c r="F30" s="23">
        <v>1640</v>
      </c>
      <c r="G30" s="23">
        <v>117</v>
      </c>
      <c r="H30" s="23">
        <v>1</v>
      </c>
      <c r="I30" s="48">
        <f t="shared" si="0"/>
        <v>3514</v>
      </c>
      <c r="J30" s="49">
        <f t="shared" si="1"/>
        <v>3514</v>
      </c>
      <c r="K30" s="23">
        <v>5</v>
      </c>
      <c r="L30" s="50">
        <f t="shared" si="2"/>
        <v>108.74719148936171</v>
      </c>
      <c r="M30" s="49">
        <f t="shared" si="3"/>
        <v>40</v>
      </c>
      <c r="N30" s="51">
        <f t="shared" si="4"/>
        <v>148.74719148936171</v>
      </c>
      <c r="O30" s="52">
        <f t="shared" si="5"/>
        <v>26.288072348211383</v>
      </c>
      <c r="P30" s="49">
        <f t="shared" si="6"/>
        <v>3.75</v>
      </c>
      <c r="Q30" s="49">
        <f t="shared" si="7"/>
        <v>2.5</v>
      </c>
      <c r="R30" s="52">
        <f t="shared" si="8"/>
        <v>32.538072348211386</v>
      </c>
    </row>
    <row r="31" spans="1:18" s="41" customFormat="1" x14ac:dyDescent="0.25">
      <c r="A31" s="6" t="s">
        <v>74</v>
      </c>
      <c r="B31" s="7">
        <v>3</v>
      </c>
      <c r="C31" s="7" t="s">
        <v>90</v>
      </c>
      <c r="D31" s="7" t="s">
        <v>42</v>
      </c>
      <c r="E31" s="6" t="s">
        <v>91</v>
      </c>
      <c r="F31" s="23">
        <v>1338</v>
      </c>
      <c r="G31" s="23">
        <v>600</v>
      </c>
      <c r="H31" s="23">
        <v>1</v>
      </c>
      <c r="I31" s="48">
        <f t="shared" si="0"/>
        <v>3876</v>
      </c>
      <c r="J31" s="49">
        <f t="shared" si="1"/>
        <v>3876</v>
      </c>
      <c r="K31" s="23">
        <v>4</v>
      </c>
      <c r="L31" s="50">
        <f t="shared" si="2"/>
        <v>113.88961702127661</v>
      </c>
      <c r="M31" s="49">
        <f t="shared" si="3"/>
        <v>40</v>
      </c>
      <c r="N31" s="51">
        <f t="shared" si="4"/>
        <v>153.88961702127659</v>
      </c>
      <c r="O31" s="52">
        <f t="shared" si="5"/>
        <v>27.196892562392943</v>
      </c>
      <c r="P31" s="49">
        <f t="shared" si="6"/>
        <v>3.75</v>
      </c>
      <c r="Q31" s="49">
        <f t="shared" si="7"/>
        <v>2.5</v>
      </c>
      <c r="R31" s="52">
        <f t="shared" si="8"/>
        <v>33.446892562392947</v>
      </c>
    </row>
    <row r="32" spans="1:18" s="41" customFormat="1" x14ac:dyDescent="0.25">
      <c r="A32" s="6" t="s">
        <v>74</v>
      </c>
      <c r="B32" s="7">
        <v>3</v>
      </c>
      <c r="C32" s="7" t="s">
        <v>92</v>
      </c>
      <c r="D32" s="7" t="s">
        <v>42</v>
      </c>
      <c r="E32" s="6" t="s">
        <v>49</v>
      </c>
      <c r="F32" s="23"/>
      <c r="G32" s="23"/>
      <c r="H32" s="23"/>
      <c r="I32" s="48">
        <f t="shared" si="0"/>
        <v>0</v>
      </c>
      <c r="J32" s="49">
        <f t="shared" si="1"/>
        <v>0</v>
      </c>
      <c r="K32" s="23"/>
      <c r="L32" s="50">
        <f t="shared" si="2"/>
        <v>0</v>
      </c>
      <c r="M32" s="49">
        <f t="shared" si="3"/>
        <v>0</v>
      </c>
      <c r="N32" s="51">
        <f t="shared" si="4"/>
        <v>0</v>
      </c>
      <c r="O32" s="52">
        <f t="shared" si="5"/>
        <v>0</v>
      </c>
      <c r="P32" s="49">
        <f t="shared" si="6"/>
        <v>0</v>
      </c>
      <c r="Q32" s="49">
        <f t="shared" si="7"/>
        <v>0</v>
      </c>
      <c r="R32" s="52">
        <f t="shared" si="8"/>
        <v>0</v>
      </c>
    </row>
    <row r="33" spans="1:18" s="41" customFormat="1" x14ac:dyDescent="0.25">
      <c r="A33" s="6" t="s">
        <v>74</v>
      </c>
      <c r="B33" s="7">
        <v>3</v>
      </c>
      <c r="C33" s="7" t="s">
        <v>93</v>
      </c>
      <c r="D33" s="7" t="s">
        <v>42</v>
      </c>
      <c r="E33" s="6" t="s">
        <v>94</v>
      </c>
      <c r="F33" s="23">
        <v>926</v>
      </c>
      <c r="G33" s="23">
        <v>544</v>
      </c>
      <c r="H33" s="23">
        <v>1</v>
      </c>
      <c r="I33" s="48">
        <f t="shared" si="0"/>
        <v>2940</v>
      </c>
      <c r="J33" s="49">
        <f t="shared" si="1"/>
        <v>2940</v>
      </c>
      <c r="K33" s="23">
        <v>6</v>
      </c>
      <c r="L33" s="50">
        <f t="shared" si="2"/>
        <v>98.250638297872342</v>
      </c>
      <c r="M33" s="49">
        <f t="shared" si="3"/>
        <v>40</v>
      </c>
      <c r="N33" s="51">
        <f t="shared" si="4"/>
        <v>138.25063829787234</v>
      </c>
      <c r="O33" s="52">
        <f t="shared" si="5"/>
        <v>24.433017829589048</v>
      </c>
      <c r="P33" s="49">
        <f t="shared" si="6"/>
        <v>3.75</v>
      </c>
      <c r="Q33" s="49">
        <f t="shared" si="7"/>
        <v>2.5</v>
      </c>
      <c r="R33" s="52">
        <f t="shared" si="8"/>
        <v>30.683017829589048</v>
      </c>
    </row>
    <row r="34" spans="1:18" s="41" customFormat="1" x14ac:dyDescent="0.25">
      <c r="A34" s="6" t="s">
        <v>74</v>
      </c>
      <c r="B34" s="7">
        <v>3</v>
      </c>
      <c r="C34" s="7" t="s">
        <v>95</v>
      </c>
      <c r="D34" s="7" t="s">
        <v>42</v>
      </c>
      <c r="E34" s="6" t="s">
        <v>96</v>
      </c>
      <c r="F34" s="23">
        <v>599</v>
      </c>
      <c r="G34" s="23">
        <v>427</v>
      </c>
      <c r="H34" s="23">
        <v>1</v>
      </c>
      <c r="I34" s="48">
        <f t="shared" si="0"/>
        <v>2052</v>
      </c>
      <c r="J34" s="49">
        <f t="shared" si="1"/>
        <v>2052</v>
      </c>
      <c r="K34" s="23">
        <v>5</v>
      </c>
      <c r="L34" s="50">
        <f t="shared" si="2"/>
        <v>71.82391489361703</v>
      </c>
      <c r="M34" s="49">
        <f t="shared" si="3"/>
        <v>40</v>
      </c>
      <c r="N34" s="51">
        <f t="shared" si="4"/>
        <v>111.82391489361703</v>
      </c>
      <c r="O34" s="52">
        <f t="shared" si="5"/>
        <v>19.762626343058564</v>
      </c>
      <c r="P34" s="49">
        <f t="shared" si="6"/>
        <v>3.75</v>
      </c>
      <c r="Q34" s="49">
        <f t="shared" si="7"/>
        <v>2.5</v>
      </c>
      <c r="R34" s="52">
        <f t="shared" si="8"/>
        <v>26.012626343058564</v>
      </c>
    </row>
    <row r="35" spans="1:18" s="41" customFormat="1" x14ac:dyDescent="0.25">
      <c r="A35" s="6" t="s">
        <v>74</v>
      </c>
      <c r="B35" s="7">
        <v>3</v>
      </c>
      <c r="C35" s="7" t="s">
        <v>97</v>
      </c>
      <c r="D35" s="7" t="s">
        <v>42</v>
      </c>
      <c r="E35" s="6" t="s">
        <v>96</v>
      </c>
      <c r="F35" s="23">
        <v>1559</v>
      </c>
      <c r="G35" s="23">
        <v>514</v>
      </c>
      <c r="H35" s="23">
        <v>1</v>
      </c>
      <c r="I35" s="48">
        <f t="shared" si="0"/>
        <v>4146</v>
      </c>
      <c r="J35" s="49">
        <f t="shared" si="1"/>
        <v>4146</v>
      </c>
      <c r="K35" s="23">
        <v>5</v>
      </c>
      <c r="L35" s="50">
        <f t="shared" si="2"/>
        <v>124.70855319148937</v>
      </c>
      <c r="M35" s="49">
        <f t="shared" si="3"/>
        <v>40</v>
      </c>
      <c r="N35" s="51">
        <f t="shared" si="4"/>
        <v>164.70855319148939</v>
      </c>
      <c r="O35" s="52">
        <f t="shared" si="5"/>
        <v>29.108921784091397</v>
      </c>
      <c r="P35" s="49">
        <f t="shared" si="6"/>
        <v>3.75</v>
      </c>
      <c r="Q35" s="49">
        <f t="shared" si="7"/>
        <v>2.5</v>
      </c>
      <c r="R35" s="52">
        <f t="shared" si="8"/>
        <v>35.358921784091393</v>
      </c>
    </row>
    <row r="36" spans="1:18" s="41" customFormat="1" x14ac:dyDescent="0.25">
      <c r="A36" s="6" t="s">
        <v>74</v>
      </c>
      <c r="B36" s="7">
        <v>3</v>
      </c>
      <c r="C36" s="7" t="s">
        <v>98</v>
      </c>
      <c r="D36" s="7" t="s">
        <v>42</v>
      </c>
      <c r="E36" s="6" t="s">
        <v>99</v>
      </c>
      <c r="F36" s="23">
        <v>764</v>
      </c>
      <c r="G36" s="23">
        <v>256</v>
      </c>
      <c r="H36" s="23">
        <v>1</v>
      </c>
      <c r="I36" s="48">
        <f t="shared" si="0"/>
        <v>2040</v>
      </c>
      <c r="J36" s="49">
        <f t="shared" si="1"/>
        <v>2040</v>
      </c>
      <c r="K36" s="23">
        <v>5</v>
      </c>
      <c r="L36" s="50">
        <f t="shared" si="2"/>
        <v>71.520851063829781</v>
      </c>
      <c r="M36" s="49">
        <f t="shared" si="3"/>
        <v>40</v>
      </c>
      <c r="N36" s="51">
        <f t="shared" si="4"/>
        <v>111.52085106382978</v>
      </c>
      <c r="O36" s="52">
        <f t="shared" si="5"/>
        <v>19.709065910731727</v>
      </c>
      <c r="P36" s="49">
        <f t="shared" si="6"/>
        <v>3.75</v>
      </c>
      <c r="Q36" s="49">
        <f t="shared" si="7"/>
        <v>2.5</v>
      </c>
      <c r="R36" s="52">
        <f t="shared" si="8"/>
        <v>25.959065910731727</v>
      </c>
    </row>
    <row r="37" spans="1:18" s="41" customFormat="1" x14ac:dyDescent="0.25">
      <c r="A37" s="6" t="s">
        <v>74</v>
      </c>
      <c r="B37" s="7">
        <v>3</v>
      </c>
      <c r="C37" s="7" t="s">
        <v>100</v>
      </c>
      <c r="D37" s="7" t="s">
        <v>42</v>
      </c>
      <c r="E37" s="6" t="s">
        <v>101</v>
      </c>
      <c r="F37" s="23">
        <v>749</v>
      </c>
      <c r="G37" s="23">
        <v>561</v>
      </c>
      <c r="H37" s="23">
        <v>1</v>
      </c>
      <c r="I37" s="48">
        <f t="shared" si="0"/>
        <v>2620</v>
      </c>
      <c r="J37" s="49">
        <f t="shared" si="1"/>
        <v>2620</v>
      </c>
      <c r="K37" s="23">
        <v>8</v>
      </c>
      <c r="L37" s="50">
        <f t="shared" si="2"/>
        <v>98.16893617021276</v>
      </c>
      <c r="M37" s="49">
        <f t="shared" si="3"/>
        <v>40</v>
      </c>
      <c r="N37" s="51">
        <f t="shared" si="4"/>
        <v>138.16893617021276</v>
      </c>
      <c r="O37" s="52">
        <f t="shared" si="5"/>
        <v>24.418578622896053</v>
      </c>
      <c r="P37" s="49">
        <f t="shared" si="6"/>
        <v>3.75</v>
      </c>
      <c r="Q37" s="49">
        <f t="shared" si="7"/>
        <v>2.5</v>
      </c>
      <c r="R37" s="52">
        <f t="shared" si="8"/>
        <v>30.668578622896053</v>
      </c>
    </row>
    <row r="38" spans="1:18" s="41" customFormat="1" x14ac:dyDescent="0.25">
      <c r="A38" s="6" t="s">
        <v>74</v>
      </c>
      <c r="B38" s="7">
        <v>3</v>
      </c>
      <c r="C38" s="7" t="s">
        <v>102</v>
      </c>
      <c r="D38" s="7" t="s">
        <v>42</v>
      </c>
      <c r="E38" s="6" t="s">
        <v>103</v>
      </c>
      <c r="F38" s="23">
        <v>1352</v>
      </c>
      <c r="G38" s="23">
        <v>179</v>
      </c>
      <c r="H38" s="23">
        <v>1</v>
      </c>
      <c r="I38" s="48">
        <f t="shared" si="0"/>
        <v>3062</v>
      </c>
      <c r="J38" s="49">
        <f t="shared" si="1"/>
        <v>3062</v>
      </c>
      <c r="K38" s="23">
        <v>5</v>
      </c>
      <c r="L38" s="50">
        <f t="shared" si="2"/>
        <v>97.331787234042551</v>
      </c>
      <c r="M38" s="49">
        <f t="shared" si="3"/>
        <v>40</v>
      </c>
      <c r="N38" s="51">
        <f t="shared" si="4"/>
        <v>137.33178723404257</v>
      </c>
      <c r="O38" s="52">
        <f t="shared" si="5"/>
        <v>24.2706293972339</v>
      </c>
      <c r="P38" s="49">
        <f t="shared" si="6"/>
        <v>3.75</v>
      </c>
      <c r="Q38" s="49">
        <f t="shared" si="7"/>
        <v>2.5</v>
      </c>
      <c r="R38" s="52">
        <f t="shared" si="8"/>
        <v>30.5206293972339</v>
      </c>
    </row>
    <row r="39" spans="1:18" s="41" customFormat="1" x14ac:dyDescent="0.25">
      <c r="A39" s="6" t="s">
        <v>74</v>
      </c>
      <c r="B39" s="7">
        <v>3</v>
      </c>
      <c r="C39" s="7" t="s">
        <v>104</v>
      </c>
      <c r="D39" s="7" t="s">
        <v>42</v>
      </c>
      <c r="E39" s="6" t="s">
        <v>105</v>
      </c>
      <c r="F39" s="23">
        <v>958</v>
      </c>
      <c r="G39" s="23">
        <v>164</v>
      </c>
      <c r="H39" s="23">
        <v>1</v>
      </c>
      <c r="I39" s="48">
        <f t="shared" si="0"/>
        <v>2244</v>
      </c>
      <c r="J39" s="49">
        <f t="shared" si="1"/>
        <v>2244</v>
      </c>
      <c r="K39" s="23">
        <v>4</v>
      </c>
      <c r="L39" s="50">
        <f t="shared" si="2"/>
        <v>72.672936170212765</v>
      </c>
      <c r="M39" s="49">
        <f t="shared" si="3"/>
        <v>40</v>
      </c>
      <c r="N39" s="51">
        <f t="shared" si="4"/>
        <v>112.67293617021276</v>
      </c>
      <c r="O39" s="52">
        <f t="shared" si="5"/>
        <v>19.912673765943289</v>
      </c>
      <c r="P39" s="49">
        <f t="shared" si="6"/>
        <v>3.75</v>
      </c>
      <c r="Q39" s="49">
        <f t="shared" si="7"/>
        <v>2.5</v>
      </c>
      <c r="R39" s="52">
        <f t="shared" si="8"/>
        <v>26.162673765943289</v>
      </c>
    </row>
    <row r="40" spans="1:18" s="41" customFormat="1" x14ac:dyDescent="0.25">
      <c r="A40" s="6" t="s">
        <v>74</v>
      </c>
      <c r="B40" s="7">
        <v>3</v>
      </c>
      <c r="C40" s="7" t="s">
        <v>106</v>
      </c>
      <c r="D40" s="7" t="s">
        <v>42</v>
      </c>
      <c r="E40" s="6" t="s">
        <v>107</v>
      </c>
      <c r="F40" s="23">
        <v>700</v>
      </c>
      <c r="G40" s="23">
        <v>520</v>
      </c>
      <c r="H40" s="23">
        <v>1</v>
      </c>
      <c r="I40" s="48">
        <f t="shared" si="0"/>
        <v>2440</v>
      </c>
      <c r="J40" s="49">
        <f t="shared" si="1"/>
        <v>2440</v>
      </c>
      <c r="K40" s="23">
        <v>4</v>
      </c>
      <c r="L40" s="50">
        <f t="shared" si="2"/>
        <v>77.622978723404259</v>
      </c>
      <c r="M40" s="49">
        <f t="shared" si="3"/>
        <v>40</v>
      </c>
      <c r="N40" s="51">
        <f t="shared" si="4"/>
        <v>117.62297872340426</v>
      </c>
      <c r="O40" s="52">
        <f t="shared" si="5"/>
        <v>20.787494160614941</v>
      </c>
      <c r="P40" s="49">
        <f t="shared" si="6"/>
        <v>3.75</v>
      </c>
      <c r="Q40" s="49">
        <f t="shared" si="7"/>
        <v>2.5</v>
      </c>
      <c r="R40" s="52">
        <f t="shared" si="8"/>
        <v>27.037494160614941</v>
      </c>
    </row>
    <row r="41" spans="1:18" s="41" customFormat="1" x14ac:dyDescent="0.25">
      <c r="A41" s="6" t="s">
        <v>74</v>
      </c>
      <c r="B41" s="7">
        <v>3</v>
      </c>
      <c r="C41" s="7" t="s">
        <v>174</v>
      </c>
      <c r="D41" s="7" t="s">
        <v>42</v>
      </c>
      <c r="E41" s="6" t="s">
        <v>80</v>
      </c>
      <c r="F41" s="23">
        <v>403</v>
      </c>
      <c r="G41" s="23">
        <v>132</v>
      </c>
      <c r="H41" s="23">
        <v>1</v>
      </c>
      <c r="I41" s="48">
        <f t="shared" si="0"/>
        <v>1070</v>
      </c>
      <c r="J41" s="49">
        <f t="shared" si="1"/>
        <v>1070</v>
      </c>
      <c r="K41" s="23">
        <v>4</v>
      </c>
      <c r="L41" s="50">
        <f t="shared" si="2"/>
        <v>43.023191489361707</v>
      </c>
      <c r="M41" s="49">
        <f t="shared" si="3"/>
        <v>40</v>
      </c>
      <c r="N41" s="51">
        <f t="shared" si="4"/>
        <v>83.023191489361707</v>
      </c>
      <c r="O41" s="52">
        <f t="shared" si="5"/>
        <v>14.672678136634532</v>
      </c>
      <c r="P41" s="49">
        <f t="shared" si="6"/>
        <v>3.75</v>
      </c>
      <c r="Q41" s="49">
        <f t="shared" si="7"/>
        <v>2.5</v>
      </c>
      <c r="R41" s="52">
        <f t="shared" si="8"/>
        <v>20.922678136634531</v>
      </c>
    </row>
    <row r="42" spans="1:18" s="41" customFormat="1" x14ac:dyDescent="0.25">
      <c r="A42" s="6" t="s">
        <v>74</v>
      </c>
      <c r="B42" s="7">
        <v>3</v>
      </c>
      <c r="C42" s="7" t="s">
        <v>108</v>
      </c>
      <c r="D42" s="7" t="s">
        <v>42</v>
      </c>
      <c r="E42" s="6" t="s">
        <v>109</v>
      </c>
      <c r="F42" s="23">
        <v>668</v>
      </c>
      <c r="G42" s="23">
        <v>338</v>
      </c>
      <c r="H42" s="23">
        <v>1</v>
      </c>
      <c r="I42" s="48">
        <f t="shared" si="0"/>
        <v>2012</v>
      </c>
      <c r="J42" s="49">
        <f t="shared" si="1"/>
        <v>2012</v>
      </c>
      <c r="K42" s="23">
        <v>4</v>
      </c>
      <c r="L42" s="50">
        <f t="shared" si="2"/>
        <v>66.813702127659582</v>
      </c>
      <c r="M42" s="49">
        <f t="shared" si="3"/>
        <v>40</v>
      </c>
      <c r="N42" s="51">
        <f t="shared" si="4"/>
        <v>106.81370212765958</v>
      </c>
      <c r="O42" s="52">
        <f t="shared" si="5"/>
        <v>18.877172074291135</v>
      </c>
      <c r="P42" s="49">
        <f t="shared" si="6"/>
        <v>3.75</v>
      </c>
      <c r="Q42" s="49">
        <f t="shared" si="7"/>
        <v>2.5</v>
      </c>
      <c r="R42" s="52">
        <f t="shared" si="8"/>
        <v>25.127172074291135</v>
      </c>
    </row>
    <row r="43" spans="1:18" s="41" customFormat="1" x14ac:dyDescent="0.25">
      <c r="A43" s="6" t="s">
        <v>74</v>
      </c>
      <c r="B43" s="7">
        <v>3</v>
      </c>
      <c r="C43" s="7" t="s">
        <v>110</v>
      </c>
      <c r="D43" s="7" t="s">
        <v>42</v>
      </c>
      <c r="E43" s="6" t="s">
        <v>111</v>
      </c>
      <c r="F43" s="23">
        <v>1084</v>
      </c>
      <c r="G43" s="23">
        <v>92</v>
      </c>
      <c r="H43" s="23">
        <v>1</v>
      </c>
      <c r="I43" s="48">
        <f t="shared" si="0"/>
        <v>2352</v>
      </c>
      <c r="J43" s="49">
        <f t="shared" si="1"/>
        <v>2352</v>
      </c>
      <c r="K43" s="23">
        <v>5</v>
      </c>
      <c r="L43" s="50">
        <f t="shared" si="2"/>
        <v>79.400510638297874</v>
      </c>
      <c r="M43" s="49">
        <f t="shared" si="3"/>
        <v>40</v>
      </c>
      <c r="N43" s="51">
        <f t="shared" si="4"/>
        <v>119.40051063829787</v>
      </c>
      <c r="O43" s="52">
        <f t="shared" si="5"/>
        <v>21.101637151229458</v>
      </c>
      <c r="P43" s="49">
        <f t="shared" si="6"/>
        <v>3.75</v>
      </c>
      <c r="Q43" s="49">
        <f t="shared" si="7"/>
        <v>2.5</v>
      </c>
      <c r="R43" s="52">
        <f t="shared" si="8"/>
        <v>27.351637151229458</v>
      </c>
    </row>
    <row r="44" spans="1:18" s="41" customFormat="1" x14ac:dyDescent="0.25">
      <c r="A44" s="6" t="s">
        <v>47</v>
      </c>
      <c r="B44" s="7">
        <v>3</v>
      </c>
      <c r="C44" s="7" t="s">
        <v>112</v>
      </c>
      <c r="D44" s="7" t="s">
        <v>42</v>
      </c>
      <c r="E44" s="6" t="s">
        <v>113</v>
      </c>
      <c r="F44" s="23">
        <v>501</v>
      </c>
      <c r="G44" s="23">
        <v>60</v>
      </c>
      <c r="H44" s="23">
        <v>1</v>
      </c>
      <c r="I44" s="48">
        <f t="shared" si="0"/>
        <v>1122</v>
      </c>
      <c r="J44" s="49">
        <f t="shared" si="1"/>
        <v>1122</v>
      </c>
      <c r="K44" s="23">
        <v>4</v>
      </c>
      <c r="L44" s="50">
        <f t="shared" si="2"/>
        <v>44.336468085106382</v>
      </c>
      <c r="M44" s="49">
        <f t="shared" si="3"/>
        <v>40</v>
      </c>
      <c r="N44" s="51">
        <f t="shared" si="4"/>
        <v>84.336468085106389</v>
      </c>
      <c r="O44" s="52">
        <f t="shared" si="5"/>
        <v>14.904773343384155</v>
      </c>
      <c r="P44" s="49">
        <f t="shared" si="6"/>
        <v>3.75</v>
      </c>
      <c r="Q44" s="49">
        <f t="shared" si="7"/>
        <v>2.5</v>
      </c>
      <c r="R44" s="52">
        <f t="shared" si="8"/>
        <v>21.154773343384157</v>
      </c>
    </row>
    <row r="45" spans="1:18" s="41" customFormat="1" x14ac:dyDescent="0.25">
      <c r="A45" s="6" t="s">
        <v>47</v>
      </c>
      <c r="B45" s="7">
        <v>3</v>
      </c>
      <c r="C45" s="7" t="s">
        <v>114</v>
      </c>
      <c r="D45" s="7" t="s">
        <v>42</v>
      </c>
      <c r="E45" s="6" t="s">
        <v>115</v>
      </c>
      <c r="F45" s="23">
        <v>501</v>
      </c>
      <c r="G45" s="23">
        <v>60</v>
      </c>
      <c r="H45" s="23">
        <v>1</v>
      </c>
      <c r="I45" s="48">
        <f>+(+F45+G45)*2</f>
        <v>1122</v>
      </c>
      <c r="J45" s="49">
        <f>I45*H45</f>
        <v>1122</v>
      </c>
      <c r="K45" s="23">
        <v>4</v>
      </c>
      <c r="L45" s="50">
        <f t="shared" si="2"/>
        <v>44.336468085106382</v>
      </c>
      <c r="M45" s="49">
        <f t="shared" si="3"/>
        <v>40</v>
      </c>
      <c r="N45" s="51">
        <f t="shared" si="4"/>
        <v>84.336468085106389</v>
      </c>
      <c r="O45" s="52">
        <f t="shared" si="5"/>
        <v>14.904773343384155</v>
      </c>
      <c r="P45" s="49">
        <f t="shared" si="6"/>
        <v>3.75</v>
      </c>
      <c r="Q45" s="49">
        <f t="shared" si="7"/>
        <v>2.5</v>
      </c>
      <c r="R45" s="52">
        <f t="shared" si="8"/>
        <v>21.154773343384157</v>
      </c>
    </row>
    <row r="46" spans="1:18" s="41" customFormat="1" x14ac:dyDescent="0.25">
      <c r="A46" s="6" t="s">
        <v>47</v>
      </c>
      <c r="B46" s="7">
        <v>3</v>
      </c>
      <c r="C46" s="7" t="s">
        <v>116</v>
      </c>
      <c r="D46" s="7" t="s">
        <v>42</v>
      </c>
      <c r="E46" s="6" t="s">
        <v>117</v>
      </c>
      <c r="F46" s="23">
        <v>700</v>
      </c>
      <c r="G46" s="23">
        <v>600</v>
      </c>
      <c r="H46" s="23">
        <v>1</v>
      </c>
      <c r="I46" s="48">
        <f t="shared" si="0"/>
        <v>2600</v>
      </c>
      <c r="J46" s="49">
        <f t="shared" si="1"/>
        <v>2600</v>
      </c>
      <c r="K46" s="23">
        <v>4</v>
      </c>
      <c r="L46" s="50">
        <f t="shared" si="2"/>
        <v>81.66382978723405</v>
      </c>
      <c r="M46" s="49">
        <f t="shared" si="3"/>
        <v>40</v>
      </c>
      <c r="N46" s="51">
        <f t="shared" si="4"/>
        <v>121.66382978723405</v>
      </c>
      <c r="O46" s="52">
        <f t="shared" si="5"/>
        <v>21.501633258306086</v>
      </c>
      <c r="P46" s="49">
        <f t="shared" si="6"/>
        <v>3.75</v>
      </c>
      <c r="Q46" s="49">
        <f t="shared" si="7"/>
        <v>2.5</v>
      </c>
      <c r="R46" s="52">
        <f t="shared" si="8"/>
        <v>27.751633258306086</v>
      </c>
    </row>
    <row r="47" spans="1:18" s="41" customFormat="1" x14ac:dyDescent="0.25">
      <c r="A47" s="6" t="s">
        <v>47</v>
      </c>
      <c r="B47" s="7">
        <v>3</v>
      </c>
      <c r="C47" s="7" t="s">
        <v>118</v>
      </c>
      <c r="D47" s="7" t="s">
        <v>42</v>
      </c>
      <c r="E47" s="6" t="s">
        <v>119</v>
      </c>
      <c r="F47" s="23">
        <v>615</v>
      </c>
      <c r="G47" s="23">
        <v>514</v>
      </c>
      <c r="H47" s="23">
        <v>1</v>
      </c>
      <c r="I47" s="48">
        <f t="shared" si="0"/>
        <v>2258</v>
      </c>
      <c r="J47" s="49">
        <f t="shared" si="1"/>
        <v>2258</v>
      </c>
      <c r="K47" s="23">
        <v>5</v>
      </c>
      <c r="L47" s="50">
        <f t="shared" si="2"/>
        <v>77.026510638297879</v>
      </c>
      <c r="M47" s="49">
        <f t="shared" si="3"/>
        <v>40</v>
      </c>
      <c r="N47" s="51">
        <f t="shared" si="4"/>
        <v>117.02651063829788</v>
      </c>
      <c r="O47" s="52">
        <f t="shared" si="5"/>
        <v>20.682080431335908</v>
      </c>
      <c r="P47" s="49">
        <f t="shared" si="6"/>
        <v>3.75</v>
      </c>
      <c r="Q47" s="49">
        <f t="shared" si="7"/>
        <v>2.5</v>
      </c>
      <c r="R47" s="52">
        <f t="shared" si="8"/>
        <v>26.932080431335908</v>
      </c>
    </row>
    <row r="48" spans="1:18" s="41" customFormat="1" x14ac:dyDescent="0.25">
      <c r="A48" s="6" t="s">
        <v>47</v>
      </c>
      <c r="B48" s="7">
        <v>3</v>
      </c>
      <c r="C48" s="7" t="s">
        <v>120</v>
      </c>
      <c r="D48" s="7" t="s">
        <v>42</v>
      </c>
      <c r="E48" s="6" t="s">
        <v>121</v>
      </c>
      <c r="F48" s="23">
        <v>1125</v>
      </c>
      <c r="G48" s="23">
        <v>376</v>
      </c>
      <c r="H48" s="23">
        <v>1</v>
      </c>
      <c r="I48" s="48">
        <f t="shared" si="0"/>
        <v>3002</v>
      </c>
      <c r="J48" s="49">
        <f t="shared" si="1"/>
        <v>3002</v>
      </c>
      <c r="K48" s="23">
        <v>5</v>
      </c>
      <c r="L48" s="50">
        <f t="shared" si="2"/>
        <v>95.816468085106393</v>
      </c>
      <c r="M48" s="49">
        <f t="shared" si="3"/>
        <v>40</v>
      </c>
      <c r="N48" s="51">
        <f t="shared" si="4"/>
        <v>135.81646808510641</v>
      </c>
      <c r="O48" s="52">
        <f t="shared" si="5"/>
        <v>24.002827235599725</v>
      </c>
      <c r="P48" s="49">
        <f t="shared" si="6"/>
        <v>3.75</v>
      </c>
      <c r="Q48" s="49">
        <f t="shared" si="7"/>
        <v>2.5</v>
      </c>
      <c r="R48" s="52">
        <f t="shared" si="8"/>
        <v>30.252827235599725</v>
      </c>
    </row>
    <row r="49" spans="1:18" s="41" customFormat="1" x14ac:dyDescent="0.25">
      <c r="A49" s="6" t="s">
        <v>47</v>
      </c>
      <c r="B49" s="7">
        <v>3</v>
      </c>
      <c r="C49" s="7" t="s">
        <v>122</v>
      </c>
      <c r="D49" s="7" t="s">
        <v>42</v>
      </c>
      <c r="E49" s="6" t="s">
        <v>123</v>
      </c>
      <c r="F49" s="23">
        <v>1129</v>
      </c>
      <c r="G49" s="23">
        <v>678</v>
      </c>
      <c r="H49" s="23">
        <v>1</v>
      </c>
      <c r="I49" s="48">
        <f t="shared" si="0"/>
        <v>3614</v>
      </c>
      <c r="J49" s="49">
        <f t="shared" si="1"/>
        <v>3614</v>
      </c>
      <c r="K49" s="23">
        <v>6</v>
      </c>
      <c r="L49" s="50">
        <f t="shared" si="2"/>
        <v>115.27272340425532</v>
      </c>
      <c r="M49" s="49">
        <f t="shared" si="3"/>
        <v>40</v>
      </c>
      <c r="N49" s="51">
        <f t="shared" si="4"/>
        <v>155.27272340425532</v>
      </c>
      <c r="O49" s="52">
        <f t="shared" si="5"/>
        <v>27.441328778612984</v>
      </c>
      <c r="P49" s="49">
        <f t="shared" si="6"/>
        <v>3.75</v>
      </c>
      <c r="Q49" s="49">
        <f t="shared" si="7"/>
        <v>2.5</v>
      </c>
      <c r="R49" s="52">
        <f t="shared" si="8"/>
        <v>33.691328778612984</v>
      </c>
    </row>
    <row r="50" spans="1:18" s="41" customFormat="1" x14ac:dyDescent="0.25">
      <c r="A50" s="6" t="s">
        <v>47</v>
      </c>
      <c r="B50" s="7">
        <v>3</v>
      </c>
      <c r="C50" s="7" t="s">
        <v>124</v>
      </c>
      <c r="D50" s="7" t="s">
        <v>42</v>
      </c>
      <c r="E50" s="6" t="s">
        <v>76</v>
      </c>
      <c r="F50" s="23">
        <v>531</v>
      </c>
      <c r="G50" s="23">
        <v>679</v>
      </c>
      <c r="H50" s="23">
        <v>1</v>
      </c>
      <c r="I50" s="48">
        <f t="shared" si="0"/>
        <v>2420</v>
      </c>
      <c r="J50" s="49">
        <f t="shared" si="1"/>
        <v>2420</v>
      </c>
      <c r="K50" s="23">
        <v>6</v>
      </c>
      <c r="L50" s="50">
        <f t="shared" si="2"/>
        <v>85.117872340425521</v>
      </c>
      <c r="M50" s="49">
        <f t="shared" si="3"/>
        <v>40</v>
      </c>
      <c r="N50" s="51">
        <f t="shared" si="4"/>
        <v>125.11787234042552</v>
      </c>
      <c r="O50" s="52">
        <f t="shared" si="5"/>
        <v>22.112065762092833</v>
      </c>
      <c r="P50" s="49">
        <f t="shared" si="6"/>
        <v>3.75</v>
      </c>
      <c r="Q50" s="49">
        <f t="shared" si="7"/>
        <v>2.5</v>
      </c>
      <c r="R50" s="52">
        <f t="shared" si="8"/>
        <v>28.362065762092833</v>
      </c>
    </row>
    <row r="51" spans="1:18" s="41" customFormat="1" x14ac:dyDescent="0.25">
      <c r="A51" s="6" t="s">
        <v>47</v>
      </c>
      <c r="B51" s="7">
        <v>3</v>
      </c>
      <c r="C51" s="7" t="s">
        <v>125</v>
      </c>
      <c r="D51" s="7" t="s">
        <v>42</v>
      </c>
      <c r="E51" s="6" t="s">
        <v>76</v>
      </c>
      <c r="F51" s="23">
        <v>1450</v>
      </c>
      <c r="G51" s="23">
        <v>520</v>
      </c>
      <c r="H51" s="23">
        <v>1</v>
      </c>
      <c r="I51" s="48">
        <f t="shared" si="0"/>
        <v>3940</v>
      </c>
      <c r="J51" s="49">
        <f t="shared" si="1"/>
        <v>3940</v>
      </c>
      <c r="K51" s="23">
        <v>6</v>
      </c>
      <c r="L51" s="50">
        <f t="shared" si="2"/>
        <v>123.50595744680851</v>
      </c>
      <c r="M51" s="49">
        <f t="shared" si="3"/>
        <v>40</v>
      </c>
      <c r="N51" s="51">
        <f t="shared" si="4"/>
        <v>163.50595744680851</v>
      </c>
      <c r="O51" s="52">
        <f t="shared" si="5"/>
        <v>28.896387190158688</v>
      </c>
      <c r="P51" s="49">
        <f t="shared" si="6"/>
        <v>3.75</v>
      </c>
      <c r="Q51" s="49">
        <f t="shared" si="7"/>
        <v>2.5</v>
      </c>
      <c r="R51" s="52">
        <f t="shared" si="8"/>
        <v>35.146387190158691</v>
      </c>
    </row>
    <row r="52" spans="1:18" s="41" customFormat="1" x14ac:dyDescent="0.25">
      <c r="A52" s="6" t="s">
        <v>47</v>
      </c>
      <c r="B52" s="7">
        <v>3</v>
      </c>
      <c r="C52" s="7" t="s">
        <v>126</v>
      </c>
      <c r="D52" s="7" t="s">
        <v>42</v>
      </c>
      <c r="E52" s="6" t="s">
        <v>127</v>
      </c>
      <c r="F52" s="23">
        <v>421</v>
      </c>
      <c r="G52" s="23">
        <v>678</v>
      </c>
      <c r="H52" s="23">
        <v>1</v>
      </c>
      <c r="I52" s="49">
        <f t="shared" ref="I52:I63" si="9">((F52+G52)*2)</f>
        <v>2198</v>
      </c>
      <c r="J52" s="49">
        <f t="shared" si="1"/>
        <v>2198</v>
      </c>
      <c r="K52" s="23">
        <v>4</v>
      </c>
      <c r="L52" s="50">
        <f t="shared" si="2"/>
        <v>71.511191489361693</v>
      </c>
      <c r="M52" s="49">
        <f t="shared" si="3"/>
        <v>40</v>
      </c>
      <c r="N52" s="51">
        <f t="shared" si="4"/>
        <v>111.51119148936169</v>
      </c>
      <c r="O52" s="52">
        <f t="shared" si="5"/>
        <v>19.707358775357086</v>
      </c>
      <c r="P52" s="49">
        <f t="shared" si="6"/>
        <v>3.75</v>
      </c>
      <c r="Q52" s="49">
        <f t="shared" si="7"/>
        <v>2.5</v>
      </c>
      <c r="R52" s="52">
        <f t="shared" si="8"/>
        <v>25.957358775357086</v>
      </c>
    </row>
    <row r="53" spans="1:18" s="41" customFormat="1" x14ac:dyDescent="0.25">
      <c r="A53" s="6" t="s">
        <v>47</v>
      </c>
      <c r="B53" s="7">
        <v>3</v>
      </c>
      <c r="C53" s="7" t="s">
        <v>128</v>
      </c>
      <c r="D53" s="7" t="s">
        <v>42</v>
      </c>
      <c r="E53" s="6" t="s">
        <v>105</v>
      </c>
      <c r="F53" s="23">
        <v>1381</v>
      </c>
      <c r="G53" s="23">
        <v>514</v>
      </c>
      <c r="H53" s="23">
        <v>1</v>
      </c>
      <c r="I53" s="49">
        <f t="shared" si="9"/>
        <v>3790</v>
      </c>
      <c r="J53" s="49">
        <f t="shared" si="1"/>
        <v>3790</v>
      </c>
      <c r="K53" s="23">
        <v>6</v>
      </c>
      <c r="L53" s="50">
        <f t="shared" si="2"/>
        <v>119.71765957446809</v>
      </c>
      <c r="M53" s="49">
        <f t="shared" si="3"/>
        <v>40</v>
      </c>
      <c r="N53" s="51">
        <f t="shared" si="4"/>
        <v>159.71765957446809</v>
      </c>
      <c r="O53" s="52">
        <f t="shared" si="5"/>
        <v>28.226881786073246</v>
      </c>
      <c r="P53" s="49">
        <f t="shared" si="6"/>
        <v>3.75</v>
      </c>
      <c r="Q53" s="49">
        <f t="shared" si="7"/>
        <v>2.5</v>
      </c>
      <c r="R53" s="52">
        <f t="shared" si="8"/>
        <v>34.47688178607325</v>
      </c>
    </row>
    <row r="54" spans="1:18" s="41" customFormat="1" x14ac:dyDescent="0.25">
      <c r="A54" s="6" t="s">
        <v>74</v>
      </c>
      <c r="B54" s="7">
        <v>3</v>
      </c>
      <c r="C54" s="7" t="s">
        <v>129</v>
      </c>
      <c r="D54" s="7" t="s">
        <v>42</v>
      </c>
      <c r="E54" s="6" t="s">
        <v>130</v>
      </c>
      <c r="F54" s="23">
        <v>1449</v>
      </c>
      <c r="G54" s="23">
        <v>136</v>
      </c>
      <c r="H54" s="23">
        <v>1</v>
      </c>
      <c r="I54" s="49">
        <f t="shared" si="9"/>
        <v>3170</v>
      </c>
      <c r="J54" s="49">
        <f t="shared" si="1"/>
        <v>3170</v>
      </c>
      <c r="K54" s="23">
        <v>5</v>
      </c>
      <c r="L54" s="50">
        <f t="shared" si="2"/>
        <v>100.05936170212766</v>
      </c>
      <c r="M54" s="49">
        <f t="shared" si="3"/>
        <v>40</v>
      </c>
      <c r="N54" s="51">
        <f t="shared" si="4"/>
        <v>140.05936170212766</v>
      </c>
      <c r="O54" s="52">
        <f t="shared" si="5"/>
        <v>24.752673288175423</v>
      </c>
      <c r="P54" s="49">
        <f t="shared" si="6"/>
        <v>3.75</v>
      </c>
      <c r="Q54" s="49">
        <f t="shared" si="7"/>
        <v>2.5</v>
      </c>
      <c r="R54" s="52">
        <f t="shared" si="8"/>
        <v>31.002673288175423</v>
      </c>
    </row>
    <row r="55" spans="1:18" s="41" customFormat="1" x14ac:dyDescent="0.25">
      <c r="A55" s="6" t="s">
        <v>74</v>
      </c>
      <c r="B55" s="7">
        <v>3</v>
      </c>
      <c r="C55" s="7" t="s">
        <v>131</v>
      </c>
      <c r="D55" s="7" t="s">
        <v>66</v>
      </c>
      <c r="E55" s="6" t="s">
        <v>132</v>
      </c>
      <c r="F55" s="23">
        <v>1164</v>
      </c>
      <c r="G55" s="23">
        <v>144</v>
      </c>
      <c r="H55" s="23">
        <v>1</v>
      </c>
      <c r="I55" s="49">
        <f t="shared" si="9"/>
        <v>2616</v>
      </c>
      <c r="J55" s="49">
        <f t="shared" si="1"/>
        <v>2616</v>
      </c>
      <c r="K55" s="23">
        <v>5</v>
      </c>
      <c r="L55" s="50">
        <f t="shared" si="2"/>
        <v>86.067914893617029</v>
      </c>
      <c r="M55" s="49">
        <f t="shared" si="3"/>
        <v>40</v>
      </c>
      <c r="N55" s="51">
        <f t="shared" si="4"/>
        <v>126.06791489361703</v>
      </c>
      <c r="O55" s="52">
        <f t="shared" si="5"/>
        <v>22.279966662419842</v>
      </c>
      <c r="P55" s="49">
        <f t="shared" si="6"/>
        <v>3.75</v>
      </c>
      <c r="Q55" s="49">
        <f t="shared" si="7"/>
        <v>2.5</v>
      </c>
      <c r="R55" s="52">
        <f t="shared" si="8"/>
        <v>28.529966662419842</v>
      </c>
    </row>
    <row r="56" spans="1:18" s="41" customFormat="1" x14ac:dyDescent="0.25">
      <c r="A56" s="6" t="s">
        <v>133</v>
      </c>
      <c r="B56" s="7">
        <v>3</v>
      </c>
      <c r="C56" s="7" t="s">
        <v>175</v>
      </c>
      <c r="D56" s="7" t="s">
        <v>42</v>
      </c>
      <c r="E56" s="6" t="s">
        <v>176</v>
      </c>
      <c r="F56" s="23">
        <v>1810</v>
      </c>
      <c r="G56" s="23">
        <v>721</v>
      </c>
      <c r="H56" s="23">
        <v>1</v>
      </c>
      <c r="I56" s="49">
        <f t="shared" si="9"/>
        <v>5062</v>
      </c>
      <c r="J56" s="49">
        <f t="shared" si="1"/>
        <v>5062</v>
      </c>
      <c r="K56" s="23">
        <v>5</v>
      </c>
      <c r="L56" s="50">
        <f t="shared" si="2"/>
        <v>147.8424255319149</v>
      </c>
      <c r="M56" s="49">
        <f t="shared" si="3"/>
        <v>40</v>
      </c>
      <c r="N56" s="51">
        <f t="shared" si="4"/>
        <v>187.8424255319149</v>
      </c>
      <c r="O56" s="52">
        <f t="shared" si="5"/>
        <v>33.197368118373184</v>
      </c>
      <c r="P56" s="49">
        <f t="shared" si="6"/>
        <v>3.75</v>
      </c>
      <c r="Q56" s="49">
        <f t="shared" si="7"/>
        <v>2.5</v>
      </c>
      <c r="R56" s="52">
        <f t="shared" si="8"/>
        <v>39.447368118373184</v>
      </c>
    </row>
    <row r="57" spans="1:18" s="41" customFormat="1" x14ac:dyDescent="0.25">
      <c r="A57" s="6" t="s">
        <v>133</v>
      </c>
      <c r="B57" s="7">
        <v>3</v>
      </c>
      <c r="C57" s="7" t="s">
        <v>134</v>
      </c>
      <c r="D57" s="7" t="s">
        <v>42</v>
      </c>
      <c r="E57" s="6" t="s">
        <v>135</v>
      </c>
      <c r="F57" s="23">
        <v>1810</v>
      </c>
      <c r="G57" s="23">
        <v>95</v>
      </c>
      <c r="H57" s="23">
        <v>1</v>
      </c>
      <c r="I57" s="49">
        <f t="shared" si="9"/>
        <v>3810</v>
      </c>
      <c r="J57" s="49">
        <f t="shared" si="1"/>
        <v>3810</v>
      </c>
      <c r="K57" s="23">
        <v>4</v>
      </c>
      <c r="L57" s="50">
        <f t="shared" si="2"/>
        <v>112.22276595744681</v>
      </c>
      <c r="M57" s="49">
        <f t="shared" si="3"/>
        <v>40</v>
      </c>
      <c r="N57" s="51">
        <f t="shared" si="4"/>
        <v>152.22276595744682</v>
      </c>
      <c r="O57" s="52">
        <f t="shared" si="5"/>
        <v>26.902310184595351</v>
      </c>
      <c r="P57" s="49">
        <f t="shared" si="6"/>
        <v>3.75</v>
      </c>
      <c r="Q57" s="49">
        <f t="shared" si="7"/>
        <v>2.5</v>
      </c>
      <c r="R57" s="52">
        <f t="shared" si="8"/>
        <v>33.152310184595351</v>
      </c>
    </row>
    <row r="58" spans="1:18" s="41" customFormat="1" x14ac:dyDescent="0.25">
      <c r="A58" s="6" t="s">
        <v>133</v>
      </c>
      <c r="B58" s="7">
        <v>3</v>
      </c>
      <c r="C58" s="7" t="s">
        <v>177</v>
      </c>
      <c r="D58" s="7" t="s">
        <v>42</v>
      </c>
      <c r="E58" s="6" t="s">
        <v>176</v>
      </c>
      <c r="F58" s="23">
        <v>1810</v>
      </c>
      <c r="G58" s="23">
        <v>763</v>
      </c>
      <c r="H58" s="23">
        <v>1</v>
      </c>
      <c r="I58" s="49">
        <f t="shared" si="9"/>
        <v>5146</v>
      </c>
      <c r="J58" s="49">
        <f t="shared" si="1"/>
        <v>5146</v>
      </c>
      <c r="K58" s="23">
        <v>8</v>
      </c>
      <c r="L58" s="50">
        <f t="shared" si="2"/>
        <v>161.96387234042552</v>
      </c>
      <c r="M58" s="49">
        <f t="shared" si="3"/>
        <v>40</v>
      </c>
      <c r="N58" s="51">
        <f t="shared" si="4"/>
        <v>201.96387234042552</v>
      </c>
      <c r="O58" s="52">
        <f t="shared" si="5"/>
        <v>35.693049627694961</v>
      </c>
      <c r="P58" s="49">
        <f t="shared" si="6"/>
        <v>3.75</v>
      </c>
      <c r="Q58" s="49">
        <f t="shared" si="7"/>
        <v>2.5</v>
      </c>
      <c r="R58" s="52">
        <f t="shared" si="8"/>
        <v>41.943049627694961</v>
      </c>
    </row>
    <row r="59" spans="1:18" s="41" customFormat="1" x14ac:dyDescent="0.25">
      <c r="A59" s="6" t="s">
        <v>47</v>
      </c>
      <c r="B59" s="7">
        <v>3</v>
      </c>
      <c r="C59" s="7" t="s">
        <v>178</v>
      </c>
      <c r="D59" s="7" t="s">
        <v>42</v>
      </c>
      <c r="E59" s="6" t="s">
        <v>179</v>
      </c>
      <c r="F59" s="23">
        <v>800</v>
      </c>
      <c r="G59" s="23">
        <v>750</v>
      </c>
      <c r="H59" s="23">
        <v>1</v>
      </c>
      <c r="I59" s="49">
        <f t="shared" si="9"/>
        <v>3100</v>
      </c>
      <c r="J59" s="49">
        <f t="shared" si="1"/>
        <v>3100</v>
      </c>
      <c r="K59" s="23">
        <v>4</v>
      </c>
      <c r="L59" s="50">
        <f t="shared" si="2"/>
        <v>94.291489361702133</v>
      </c>
      <c r="M59" s="49">
        <f t="shared" si="3"/>
        <v>40</v>
      </c>
      <c r="N59" s="51">
        <f t="shared" si="4"/>
        <v>134.29148936170213</v>
      </c>
      <c r="O59" s="52">
        <f t="shared" si="5"/>
        <v>23.733317938590904</v>
      </c>
      <c r="P59" s="49">
        <f t="shared" si="6"/>
        <v>3.75</v>
      </c>
      <c r="Q59" s="49">
        <f t="shared" si="7"/>
        <v>2.5</v>
      </c>
      <c r="R59" s="52">
        <f t="shared" si="8"/>
        <v>29.983317938590904</v>
      </c>
    </row>
    <row r="60" spans="1:18" s="41" customFormat="1" x14ac:dyDescent="0.25">
      <c r="A60" s="6" t="s">
        <v>47</v>
      </c>
      <c r="B60" s="7">
        <v>3</v>
      </c>
      <c r="C60" s="7" t="s">
        <v>180</v>
      </c>
      <c r="D60" s="7" t="s">
        <v>42</v>
      </c>
      <c r="E60" s="6" t="s">
        <v>181</v>
      </c>
      <c r="F60" s="23">
        <v>1200</v>
      </c>
      <c r="G60" s="23">
        <v>735</v>
      </c>
      <c r="H60" s="23">
        <v>1</v>
      </c>
      <c r="I60" s="49">
        <f t="shared" si="9"/>
        <v>3870</v>
      </c>
      <c r="J60" s="49">
        <f t="shared" si="1"/>
        <v>3870</v>
      </c>
      <c r="K60" s="23">
        <v>7</v>
      </c>
      <c r="L60" s="50">
        <f t="shared" si="2"/>
        <v>125.73808510638298</v>
      </c>
      <c r="M60" s="49">
        <f t="shared" si="3"/>
        <v>40</v>
      </c>
      <c r="N60" s="51">
        <f t="shared" si="4"/>
        <v>165.73808510638298</v>
      </c>
      <c r="O60" s="52">
        <f t="shared" si="5"/>
        <v>29.290870829263461</v>
      </c>
      <c r="P60" s="49">
        <f t="shared" si="6"/>
        <v>3.75</v>
      </c>
      <c r="Q60" s="49">
        <f t="shared" si="7"/>
        <v>2.5</v>
      </c>
      <c r="R60" s="52">
        <f t="shared" si="8"/>
        <v>35.540870829263461</v>
      </c>
    </row>
    <row r="61" spans="1:18" s="41" customFormat="1" x14ac:dyDescent="0.25">
      <c r="A61" s="6" t="s">
        <v>47</v>
      </c>
      <c r="B61" s="7">
        <v>3</v>
      </c>
      <c r="C61" s="7" t="s">
        <v>182</v>
      </c>
      <c r="D61" s="7" t="s">
        <v>42</v>
      </c>
      <c r="E61" s="6" t="s">
        <v>183</v>
      </c>
      <c r="F61" s="23">
        <v>1345</v>
      </c>
      <c r="G61" s="23">
        <v>736</v>
      </c>
      <c r="H61" s="23">
        <v>1</v>
      </c>
      <c r="I61" s="49">
        <f t="shared" si="9"/>
        <v>4162</v>
      </c>
      <c r="J61" s="49">
        <f t="shared" si="1"/>
        <v>4162</v>
      </c>
      <c r="K61" s="23">
        <v>7</v>
      </c>
      <c r="L61" s="50">
        <f t="shared" si="2"/>
        <v>133.11263829787234</v>
      </c>
      <c r="M61" s="49">
        <f t="shared" si="3"/>
        <v>40</v>
      </c>
      <c r="N61" s="51">
        <f t="shared" si="4"/>
        <v>173.11263829787234</v>
      </c>
      <c r="O61" s="52">
        <f t="shared" si="5"/>
        <v>30.594174682549792</v>
      </c>
      <c r="P61" s="49">
        <f t="shared" si="6"/>
        <v>3.75</v>
      </c>
      <c r="Q61" s="49">
        <f t="shared" si="7"/>
        <v>2.5</v>
      </c>
      <c r="R61" s="52">
        <f t="shared" si="8"/>
        <v>36.844174682549792</v>
      </c>
    </row>
    <row r="62" spans="1:18" s="41" customFormat="1" x14ac:dyDescent="0.25">
      <c r="A62" s="6" t="s">
        <v>44</v>
      </c>
      <c r="B62" s="7">
        <v>3</v>
      </c>
      <c r="C62" s="7" t="s">
        <v>136</v>
      </c>
      <c r="D62" s="7" t="s">
        <v>42</v>
      </c>
      <c r="E62" s="6" t="s">
        <v>137</v>
      </c>
      <c r="F62" s="23">
        <v>965</v>
      </c>
      <c r="G62" s="23">
        <v>686</v>
      </c>
      <c r="H62" s="23">
        <v>1</v>
      </c>
      <c r="I62" s="49">
        <f t="shared" si="9"/>
        <v>3302</v>
      </c>
      <c r="J62" s="49">
        <f t="shared" si="1"/>
        <v>3302</v>
      </c>
      <c r="K62" s="23">
        <v>7</v>
      </c>
      <c r="L62" s="50">
        <f t="shared" si="2"/>
        <v>111.39306382978724</v>
      </c>
      <c r="M62" s="49">
        <f t="shared" si="3"/>
        <v>40</v>
      </c>
      <c r="N62" s="51">
        <f t="shared" si="4"/>
        <v>151.39306382978725</v>
      </c>
      <c r="O62" s="52">
        <f t="shared" si="5"/>
        <v>26.755677032459907</v>
      </c>
      <c r="P62" s="49">
        <f t="shared" si="6"/>
        <v>3.75</v>
      </c>
      <c r="Q62" s="49">
        <f t="shared" si="7"/>
        <v>2.5</v>
      </c>
      <c r="R62" s="52">
        <f t="shared" si="8"/>
        <v>33.005677032459907</v>
      </c>
    </row>
    <row r="63" spans="1:18" s="41" customFormat="1" x14ac:dyDescent="0.25">
      <c r="A63" s="6" t="s">
        <v>138</v>
      </c>
      <c r="B63" s="7">
        <v>5</v>
      </c>
      <c r="C63" s="7" t="s">
        <v>139</v>
      </c>
      <c r="D63" s="7" t="s">
        <v>42</v>
      </c>
      <c r="E63" s="6" t="s">
        <v>140</v>
      </c>
      <c r="F63" s="7">
        <v>350</v>
      </c>
      <c r="G63" s="23">
        <v>400</v>
      </c>
      <c r="H63" s="23">
        <v>1</v>
      </c>
      <c r="I63" s="49">
        <f t="shared" si="9"/>
        <v>1500</v>
      </c>
      <c r="J63" s="49">
        <f t="shared" si="1"/>
        <v>1500</v>
      </c>
      <c r="K63" s="23">
        <v>5</v>
      </c>
      <c r="L63" s="50">
        <f t="shared" si="2"/>
        <v>57.88297872340425</v>
      </c>
      <c r="M63" s="49">
        <f t="shared" si="3"/>
        <v>40</v>
      </c>
      <c r="N63" s="51">
        <f t="shared" si="4"/>
        <v>97.88297872340425</v>
      </c>
      <c r="O63" s="52">
        <f t="shared" si="5"/>
        <v>17.298846456024123</v>
      </c>
      <c r="P63" s="49">
        <f t="shared" si="6"/>
        <v>3.75</v>
      </c>
      <c r="Q63" s="49">
        <f t="shared" si="7"/>
        <v>2.5</v>
      </c>
      <c r="R63" s="52">
        <f t="shared" si="8"/>
        <v>23.548846456024123</v>
      </c>
    </row>
    <row r="64" spans="1:18" s="41" customFormat="1" x14ac:dyDescent="0.25">
      <c r="A64" s="6" t="s">
        <v>141</v>
      </c>
      <c r="B64" s="7">
        <v>4</v>
      </c>
      <c r="C64" s="7" t="s">
        <v>142</v>
      </c>
      <c r="D64" s="7" t="s">
        <v>143</v>
      </c>
      <c r="E64" s="6" t="s">
        <v>144</v>
      </c>
      <c r="F64" s="23">
        <f>'[1]ABS Parts Calculation'!H49</f>
        <v>1526</v>
      </c>
      <c r="G64" s="23">
        <f>'[1]ABS Parts Calculation'!I49</f>
        <v>788</v>
      </c>
      <c r="H64" s="23">
        <v>1</v>
      </c>
      <c r="I64" s="49">
        <f>((F64+G64)*2)*2</f>
        <v>9256</v>
      </c>
      <c r="J64" s="49">
        <f t="shared" si="1"/>
        <v>9256</v>
      </c>
      <c r="K64" s="23">
        <v>34</v>
      </c>
      <c r="L64" s="50">
        <f t="shared" si="2"/>
        <v>369.76323404255322</v>
      </c>
      <c r="M64" s="49">
        <f t="shared" si="3"/>
        <v>40</v>
      </c>
      <c r="N64" s="51">
        <f t="shared" si="4"/>
        <v>409.76323404255322</v>
      </c>
      <c r="O64" s="52">
        <f t="shared" si="5"/>
        <v>72.417404552596935</v>
      </c>
      <c r="P64" s="49">
        <f t="shared" si="6"/>
        <v>3.75</v>
      </c>
      <c r="Q64" s="49">
        <f t="shared" si="7"/>
        <v>2.5</v>
      </c>
      <c r="R64" s="52">
        <f t="shared" si="8"/>
        <v>78.667404552596935</v>
      </c>
    </row>
    <row r="65" spans="1:18" s="41" customFormat="1" x14ac:dyDescent="0.25">
      <c r="A65" s="6" t="s">
        <v>145</v>
      </c>
      <c r="B65" s="7">
        <v>3</v>
      </c>
      <c r="C65" s="7" t="s">
        <v>146</v>
      </c>
      <c r="D65" s="7" t="s">
        <v>42</v>
      </c>
      <c r="E65" s="6" t="s">
        <v>147</v>
      </c>
      <c r="F65" s="23">
        <f>'[1]ABS Parts Calculation'!H50</f>
        <v>1302</v>
      </c>
      <c r="G65" s="23">
        <f>'[1]ABS Parts Calculation'!I50</f>
        <v>645</v>
      </c>
      <c r="H65" s="23">
        <v>1</v>
      </c>
      <c r="I65" s="49">
        <f t="shared" ref="I65" si="10">((F65+G65)*2)</f>
        <v>3894</v>
      </c>
      <c r="J65" s="49">
        <f t="shared" si="1"/>
        <v>3894</v>
      </c>
      <c r="K65" s="23">
        <v>22</v>
      </c>
      <c r="L65" s="50">
        <f t="shared" si="2"/>
        <v>186.34421276595745</v>
      </c>
      <c r="M65" s="49">
        <f t="shared" si="3"/>
        <v>40</v>
      </c>
      <c r="N65" s="51">
        <f t="shared" si="4"/>
        <v>226.34421276595745</v>
      </c>
      <c r="O65" s="52">
        <f t="shared" si="5"/>
        <v>40.001784109086792</v>
      </c>
      <c r="P65" s="49">
        <f t="shared" si="6"/>
        <v>3.75</v>
      </c>
      <c r="Q65" s="49">
        <f t="shared" si="7"/>
        <v>2.5</v>
      </c>
      <c r="R65" s="52">
        <f t="shared" si="8"/>
        <v>46.251784109086792</v>
      </c>
    </row>
  </sheetData>
  <conditionalFormatting sqref="C31:C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 PART CALC</vt:lpstr>
      <vt:lpstr>CNC trimming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S (PD)</dc:creator>
  <cp:lastModifiedBy>Sridhar S (PD)</cp:lastModifiedBy>
  <dcterms:created xsi:type="dcterms:W3CDTF">2026-03-02T03:45:02Z</dcterms:created>
  <dcterms:modified xsi:type="dcterms:W3CDTF">2026-04-15T11:00:31Z</dcterms:modified>
</cp:coreProperties>
</file>