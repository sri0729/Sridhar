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TL_sridhar.s\Downloads\study mat\"/>
    </mc:Choice>
  </mc:AlternateContent>
  <xr:revisionPtr revIDLastSave="0" documentId="8_{BFE7D186-1783-4011-8217-8570BD709316}" xr6:coauthVersionLast="36" xr6:coauthVersionMax="36" xr10:uidLastSave="{00000000-0000-0000-0000-000000000000}"/>
  <bookViews>
    <workbookView xWindow="240" yWindow="195" windowWidth="20115" windowHeight="7875" xr2:uid="{00000000-000D-0000-FFFF-FFFF00000000}"/>
  </bookViews>
  <sheets>
    <sheet name="MIG" sheetId="10" r:id="rId1"/>
    <sheet name="Seam" sheetId="8" r:id="rId2"/>
    <sheet name="Sheet2" sheetId="9" r:id="rId3"/>
  </sheets>
  <definedNames>
    <definedName name="_xlnm._FilterDatabase" localSheetId="0" hidden="1">MIG!$B$4:$E$41</definedName>
    <definedName name="_xlnm._FilterDatabase" localSheetId="1" hidden="1">Seam!$B$4:$E$30</definedName>
    <definedName name="_xlnm.Print_Area" localSheetId="0">MIG!$C$1:$H$39</definedName>
    <definedName name="_xlnm.Print_Area" localSheetId="1">Seam!$C$1:$E$37</definedName>
  </definedNames>
  <calcPr calcId="191029"/>
</workbook>
</file>

<file path=xl/calcChain.xml><?xml version="1.0" encoding="utf-8"?>
<calcChain xmlns="http://schemas.openxmlformats.org/spreadsheetml/2006/main">
  <c r="H20" i="10" l="1"/>
  <c r="G20" i="10"/>
  <c r="F20" i="10"/>
  <c r="H19" i="10"/>
  <c r="G19" i="10"/>
  <c r="F19" i="10"/>
  <c r="E20" i="10"/>
  <c r="E19" i="10"/>
  <c r="R16" i="9" l="1"/>
  <c r="R17" i="9"/>
  <c r="R18" i="9"/>
  <c r="R19" i="9"/>
  <c r="R15" i="9"/>
  <c r="M8" i="9"/>
  <c r="M9" i="9"/>
  <c r="M10" i="9"/>
  <c r="M11" i="9"/>
  <c r="M12" i="9"/>
  <c r="M7" i="9"/>
  <c r="M13" i="8" l="1"/>
  <c r="M14" i="8" s="1"/>
  <c r="M15" i="8" s="1"/>
  <c r="E27" i="8" s="1"/>
  <c r="H7" i="8"/>
  <c r="H6" i="8"/>
  <c r="M26" i="8"/>
  <c r="M28" i="8"/>
  <c r="H28" i="8"/>
  <c r="H17" i="8"/>
  <c r="E17" i="8" s="1"/>
  <c r="I13" i="8"/>
  <c r="H13" i="8"/>
  <c r="I12" i="8"/>
  <c r="H12" i="8"/>
  <c r="G10" i="8"/>
  <c r="H8" i="8"/>
  <c r="J22" i="8" l="1"/>
  <c r="M7" i="8"/>
  <c r="M8" i="8" s="1"/>
  <c r="E7" i="8" s="1"/>
  <c r="I18" i="9"/>
  <c r="I17" i="9"/>
  <c r="E17" i="9"/>
  <c r="E18" i="9"/>
  <c r="E19" i="9"/>
  <c r="E20" i="9"/>
  <c r="E21" i="9"/>
  <c r="E22" i="9"/>
  <c r="E23" i="9"/>
  <c r="E16" i="9"/>
  <c r="K54" i="10"/>
  <c r="K53" i="10"/>
  <c r="K52" i="10"/>
  <c r="K50" i="10"/>
  <c r="K49" i="10"/>
  <c r="K48" i="10"/>
  <c r="K47" i="10"/>
  <c r="K46" i="10"/>
  <c r="K45" i="10"/>
  <c r="K44" i="10"/>
  <c r="K43" i="10"/>
  <c r="K42" i="10"/>
  <c r="K41" i="10"/>
  <c r="K37" i="10"/>
  <c r="K36" i="10"/>
  <c r="K35" i="10"/>
  <c r="K34" i="10"/>
  <c r="M33" i="10"/>
  <c r="K29" i="10"/>
  <c r="N27" i="10"/>
  <c r="H27" i="10"/>
  <c r="G27" i="10"/>
  <c r="F27" i="10"/>
  <c r="E27" i="10"/>
  <c r="H26" i="10"/>
  <c r="G26" i="10"/>
  <c r="F26" i="10"/>
  <c r="E26" i="10"/>
  <c r="N24" i="10"/>
  <c r="H21" i="10"/>
  <c r="G21" i="10"/>
  <c r="F21" i="10"/>
  <c r="E21" i="10"/>
  <c r="K20" i="10"/>
  <c r="K19" i="10"/>
  <c r="G22" i="10"/>
  <c r="O18" i="10"/>
  <c r="L18" i="10"/>
  <c r="L17" i="10"/>
  <c r="L16" i="10"/>
  <c r="K16" i="10"/>
  <c r="K17" i="10" s="1"/>
  <c r="H16" i="10"/>
  <c r="G16" i="10"/>
  <c r="F16" i="10"/>
  <c r="E16" i="10"/>
  <c r="H15" i="10"/>
  <c r="G15" i="10"/>
  <c r="F15" i="10"/>
  <c r="E15" i="10"/>
  <c r="H9" i="10"/>
  <c r="G9" i="10"/>
  <c r="F9" i="10"/>
  <c r="E9" i="10"/>
  <c r="N7" i="10"/>
  <c r="E31" i="10" l="1"/>
  <c r="F28" i="10"/>
  <c r="H22" i="10"/>
  <c r="E34" i="10"/>
  <c r="F17" i="10"/>
  <c r="G17" i="10"/>
  <c r="E32" i="10"/>
  <c r="H17" i="10"/>
  <c r="K22" i="10"/>
  <c r="H28" i="10"/>
  <c r="F32" i="10"/>
  <c r="G32" i="10"/>
  <c r="H32" i="10"/>
  <c r="K55" i="10"/>
  <c r="K38" i="10" s="1"/>
  <c r="E17" i="10"/>
  <c r="F22" i="10"/>
  <c r="E28" i="10"/>
  <c r="L26" i="10" s="1"/>
  <c r="E33" i="10"/>
  <c r="F33" i="10"/>
  <c r="G33" i="10"/>
  <c r="H33" i="10"/>
  <c r="H34" i="10"/>
  <c r="F34" i="10"/>
  <c r="G34" i="10"/>
  <c r="E35" i="10"/>
  <c r="G35" i="10"/>
  <c r="H35" i="10"/>
  <c r="F35" i="10"/>
  <c r="G28" i="10"/>
  <c r="F31" i="10"/>
  <c r="G31" i="10"/>
  <c r="H31" i="10"/>
  <c r="E6" i="8"/>
  <c r="E8" i="8" s="1"/>
  <c r="E22" i="10"/>
  <c r="J8" i="9"/>
  <c r="H14" i="9"/>
  <c r="G5" i="9"/>
  <c r="G6" i="9"/>
  <c r="G7" i="9"/>
  <c r="G8" i="9"/>
  <c r="F6" i="9"/>
  <c r="F7" i="9"/>
  <c r="F8" i="9"/>
  <c r="F5" i="9"/>
  <c r="D5" i="9"/>
  <c r="D6" i="9"/>
  <c r="D7" i="9"/>
  <c r="D8" i="9"/>
  <c r="D4" i="9"/>
  <c r="M32" i="8"/>
  <c r="M31" i="8"/>
  <c r="M30" i="8"/>
  <c r="M27" i="8"/>
  <c r="M25" i="8"/>
  <c r="M24" i="8"/>
  <c r="M23" i="8"/>
  <c r="M22" i="8"/>
  <c r="M21" i="8"/>
  <c r="H26" i="8"/>
  <c r="H25" i="8"/>
  <c r="H24" i="8"/>
  <c r="H20" i="8"/>
  <c r="E18" i="8"/>
  <c r="E19" i="8" s="1"/>
  <c r="E14" i="8"/>
  <c r="E13" i="8"/>
  <c r="E12" i="8"/>
  <c r="K57" i="10" l="1"/>
  <c r="E24" i="8"/>
  <c r="M33" i="8"/>
  <c r="H29" i="8" s="1"/>
  <c r="E15" i="8"/>
  <c r="E25" i="8"/>
  <c r="E22" i="8"/>
  <c r="E23" i="8"/>
  <c r="E36" i="10" l="1"/>
  <c r="E37" i="10" s="1"/>
  <c r="E39" i="10" s="1"/>
  <c r="H36" i="10"/>
  <c r="H37" i="10" s="1"/>
  <c r="H39" i="10" s="1"/>
  <c r="G36" i="10"/>
  <c r="G37" i="10" s="1"/>
  <c r="G39" i="10" s="1"/>
  <c r="F36" i="10"/>
  <c r="F37" i="10" s="1"/>
  <c r="F39" i="10" s="1"/>
  <c r="K39" i="10"/>
  <c r="E26" i="8"/>
  <c r="E28" i="8" s="1"/>
  <c r="H30" i="8"/>
  <c r="E30" i="8" l="1"/>
  <c r="E41" i="8" s="1"/>
  <c r="E43" i="8" s="1"/>
</calcChain>
</file>

<file path=xl/sharedStrings.xml><?xml version="1.0" encoding="utf-8"?>
<sst xmlns="http://schemas.openxmlformats.org/spreadsheetml/2006/main" count="290" uniqueCount="149">
  <si>
    <t>Wire Used</t>
  </si>
  <si>
    <t>Kg / m</t>
  </si>
  <si>
    <t xml:space="preserve">Wire Cost </t>
  </si>
  <si>
    <t>Rs / Kg</t>
  </si>
  <si>
    <t>Wire cost per metre weld</t>
  </si>
  <si>
    <t>Rs/ m</t>
  </si>
  <si>
    <t xml:space="preserve">Shielding Gas flow rate </t>
  </si>
  <si>
    <t>Litre/min</t>
  </si>
  <si>
    <t>Welding time</t>
  </si>
  <si>
    <t>sec / m</t>
  </si>
  <si>
    <t>Gas Cost per m3</t>
  </si>
  <si>
    <t>Rs / m3</t>
  </si>
  <si>
    <t xml:space="preserve">Gas Used </t>
  </si>
  <si>
    <t>Litre / m</t>
  </si>
  <si>
    <t>Gas Cost</t>
  </si>
  <si>
    <t>Rs / litre</t>
  </si>
  <si>
    <t>Shielding gas cost per metre weld</t>
  </si>
  <si>
    <t>Welder Labour rate</t>
  </si>
  <si>
    <t>Rs / Hr</t>
  </si>
  <si>
    <t>Rs.15000 - Welder salary p.m</t>
  </si>
  <si>
    <t>Helper Labour rate</t>
  </si>
  <si>
    <t>Total Weld time</t>
  </si>
  <si>
    <t>Labour cost per metre weld</t>
  </si>
  <si>
    <t>Weld Current</t>
  </si>
  <si>
    <t>Amp</t>
  </si>
  <si>
    <t>Weld Voltage</t>
  </si>
  <si>
    <t>Volt</t>
  </si>
  <si>
    <t>Power cost</t>
  </si>
  <si>
    <t>Rs / KwH</t>
  </si>
  <si>
    <t>Power cost per metre weld</t>
  </si>
  <si>
    <t>Fixed Cost</t>
  </si>
  <si>
    <t>8 Hr * 25 days * 12 Mon</t>
  </si>
  <si>
    <t>hrs</t>
  </si>
  <si>
    <t>Machine Maintenance Cost</t>
  </si>
  <si>
    <t>Space Cost</t>
  </si>
  <si>
    <t>Accessories Cost</t>
  </si>
  <si>
    <t>Total Fixed Cost</t>
  </si>
  <si>
    <t>Total Cost per metre Weld</t>
  </si>
  <si>
    <t>shoes</t>
  </si>
  <si>
    <t>apron</t>
  </si>
  <si>
    <t>goggles</t>
  </si>
  <si>
    <t>gloves</t>
  </si>
  <si>
    <t>weld tip</t>
  </si>
  <si>
    <t xml:space="preserve">nozzle </t>
  </si>
  <si>
    <t>mask</t>
  </si>
  <si>
    <t>ear plug</t>
  </si>
  <si>
    <t>per year</t>
  </si>
  <si>
    <t>unit/m</t>
  </si>
  <si>
    <t>3m = 200gm Wire Consumed</t>
  </si>
  <si>
    <t>Supp 1 = Rs.72/Kg ; Supp2 = Rs.75/Kg</t>
  </si>
  <si>
    <t>Supp 1 = 10L/min ; Supp2 = 15L/min</t>
  </si>
  <si>
    <t>Welding time varies with Weld person. Ranges from 2.5 min/m to 3 min/m</t>
  </si>
  <si>
    <t>6 months once</t>
  </si>
  <si>
    <t>weekly once</t>
  </si>
  <si>
    <t>C70k0016 : My van rs.72 /kg patel rs.92/kg</t>
  </si>
  <si>
    <t xml:space="preserve">C10C0006 = Rs.90/cum </t>
  </si>
  <si>
    <t>Linde Rs.54/cum (Deposit = Rs.2.5Lakhs) ; Sundaram Gas = Rs.72/cum (Deposit Rs.14000/Cyl)</t>
  </si>
  <si>
    <t>80 % EB ; 20% DG assumed</t>
  </si>
  <si>
    <t>18" =Rs.70/pc ; 10" = Rs.10/pc</t>
  </si>
  <si>
    <t>3 days once</t>
  </si>
  <si>
    <t>C70N0173 = Altech Rs.48 ; Fairdeal = Rs.56</t>
  </si>
  <si>
    <t>Monthly once</t>
  </si>
  <si>
    <t>C75N0011 = Mukund Rs.42/pc</t>
  </si>
  <si>
    <t>Rs.5 /pc</t>
  </si>
  <si>
    <t>Daily</t>
  </si>
  <si>
    <t>Rs.3 /pc</t>
  </si>
  <si>
    <t>C75N0016 = GR&amp;Com Rs.100/pc</t>
  </si>
  <si>
    <t>Shield glass</t>
  </si>
  <si>
    <t>Rs.25 /pc</t>
  </si>
  <si>
    <t>Total</t>
  </si>
  <si>
    <t>Machine price</t>
  </si>
  <si>
    <t>Depreciated over</t>
  </si>
  <si>
    <t>years</t>
  </si>
  <si>
    <t>Deprecitation cost</t>
  </si>
  <si>
    <t>Interest Cost</t>
  </si>
  <si>
    <t>Interest 12%</t>
  </si>
  <si>
    <t>Maintenance cost</t>
  </si>
  <si>
    <t>5% of Mc cost</t>
  </si>
  <si>
    <t>Space cost</t>
  </si>
  <si>
    <t>Accessories cost</t>
  </si>
  <si>
    <t>Machine Depreciation</t>
  </si>
  <si>
    <t>Rs.7500 - Helper salary p.m. Assumed 1 helper for 2 Welders</t>
  </si>
  <si>
    <t>Duty cycle: the cycle of operation of a machine or other device which operates intermittently rather than continuously.</t>
  </si>
  <si>
    <t>welding duty cycle = 60%</t>
  </si>
  <si>
    <t>spray</t>
  </si>
  <si>
    <t>Silicon Gel</t>
  </si>
  <si>
    <t>Rs.200/250g</t>
  </si>
  <si>
    <t>Helmet</t>
  </si>
  <si>
    <t>yearly once</t>
  </si>
  <si>
    <t>Black Glass</t>
  </si>
  <si>
    <t>3 month once</t>
  </si>
  <si>
    <t>Rs.90 /pc</t>
  </si>
  <si>
    <t>2 days once</t>
  </si>
  <si>
    <t>Hand sleeves</t>
  </si>
  <si>
    <t>Rs.150 /pc</t>
  </si>
  <si>
    <t>Leg Guard</t>
  </si>
  <si>
    <t>Rs.80 /pc</t>
  </si>
  <si>
    <t>min / m</t>
  </si>
  <si>
    <t>Interest for Deposit (Refundable)</t>
  </si>
  <si>
    <t>100sqft assumed @ Rs.50/sqft p.m</t>
  </si>
  <si>
    <t>8 mm</t>
  </si>
  <si>
    <t>6 mm</t>
  </si>
  <si>
    <t xml:space="preserve">3 , 4 mm </t>
  </si>
  <si>
    <t>Fillet</t>
  </si>
  <si>
    <t>m / year</t>
  </si>
  <si>
    <t>5 mm</t>
  </si>
  <si>
    <t>Upto 4 mm 0.8 dia wire ; above 4mm 1.2 dia wire</t>
  </si>
  <si>
    <t>For 6, 8mm fillet weld - 2 helper considered</t>
  </si>
  <si>
    <t>Welding Cost details</t>
  </si>
  <si>
    <t>29.05.2015</t>
  </si>
  <si>
    <t>Description</t>
  </si>
  <si>
    <t>Seam Welding Cost details</t>
  </si>
  <si>
    <t>Depreciation cost</t>
  </si>
  <si>
    <t>Bottom Wheel</t>
  </si>
  <si>
    <t>2 months once</t>
  </si>
  <si>
    <t>Dressing</t>
  </si>
  <si>
    <t>Electrode Cost</t>
  </si>
  <si>
    <t>Rs / m</t>
  </si>
  <si>
    <t>Electrode Dressing Charge</t>
  </si>
  <si>
    <t>min/m</t>
  </si>
  <si>
    <t xml:space="preserve">Machine use time </t>
  </si>
  <si>
    <t>m /  min</t>
  </si>
  <si>
    <t>m / hour</t>
  </si>
  <si>
    <t>m / Year</t>
  </si>
  <si>
    <t>Electrode cost per metre weld</t>
  </si>
  <si>
    <t>Power consumption</t>
  </si>
  <si>
    <t>KwH/m</t>
  </si>
  <si>
    <t>Rs/pc</t>
  </si>
  <si>
    <t>2 hours once (6 hrs)</t>
  </si>
  <si>
    <t>1.76 min / m @ 60% Efficiency</t>
  </si>
  <si>
    <t>1 Unit consumed for 1.5 m</t>
  </si>
  <si>
    <t>20% addln considered for Chiller</t>
  </si>
  <si>
    <t>200sqft assumed @ Rs.50/sqft p.m</t>
  </si>
  <si>
    <t>20p per litre</t>
  </si>
  <si>
    <t>Water cost details</t>
  </si>
  <si>
    <t>Water cost</t>
  </si>
  <si>
    <t xml:space="preserve">Zinc coated Electrodes Top wheel and Bottom wheel are </t>
  </si>
  <si>
    <t xml:space="preserve">Dressing is done 2 hour once to remove the Zn. </t>
  </si>
  <si>
    <t xml:space="preserve">replaced 2 months once. </t>
  </si>
  <si>
    <t>Cost of Electrode and dressing charges per m considered.</t>
  </si>
  <si>
    <t>NASH + Chiller</t>
  </si>
  <si>
    <t>1000 litre consumed per day . 40% wastage considered</t>
  </si>
  <si>
    <t xml:space="preserve">Top wheel </t>
  </si>
  <si>
    <t>Existing Norms Vs. Current Estimated Cost</t>
  </si>
  <si>
    <t>Seam Weld cost per metre</t>
  </si>
  <si>
    <t>Current</t>
  </si>
  <si>
    <t>Percent of Increase</t>
  </si>
  <si>
    <t>Rounded off</t>
  </si>
  <si>
    <t>Helper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</si>
</sst>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rgb="FF000000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center"/>
    </xf>
    <xf numFmtId="0" fontId="2" fillId="0" borderId="0" xfId="0" applyFont="1"/>
    <xf numFmtId="9" fontId="2" fillId="0" borderId="0" xfId="1" applyFont="1"/>
    <xf numFmtId="0" fontId="3" fillId="0" borderId="0" xfId="0" applyFont="1"/>
    <xf numFmtId="0" fontId="3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left" indent="1"/>
    </xf>
    <xf numFmtId="0" fontId="2" fillId="0" borderId="1" xfId="0" applyFont="1" applyFill="1" applyBorder="1" applyAlignment="1">
      <alignment horizontal="center"/>
    </xf>
    <xf numFmtId="165" fontId="2" fillId="0" borderId="1" xfId="0" applyNumberFormat="1" applyFont="1" applyFill="1" applyBorder="1" applyAlignment="1">
      <alignment horizontal="center"/>
    </xf>
    <xf numFmtId="13" fontId="2" fillId="0" borderId="0" xfId="1" applyNumberFormat="1" applyFont="1"/>
    <xf numFmtId="2" fontId="2" fillId="0" borderId="0" xfId="0" applyNumberFormat="1" applyFont="1"/>
    <xf numFmtId="166" fontId="2" fillId="0" borderId="0" xfId="0" applyNumberFormat="1" applyFont="1"/>
    <xf numFmtId="0" fontId="3" fillId="0" borderId="1" xfId="0" applyFont="1" applyBorder="1" applyAlignment="1">
      <alignment horizontal="center"/>
    </xf>
    <xf numFmtId="167" fontId="2" fillId="0" borderId="0" xfId="2" applyNumberFormat="1" applyFont="1"/>
    <xf numFmtId="167" fontId="2" fillId="0" borderId="0" xfId="2" applyNumberFormat="1" applyFont="1" applyAlignment="1">
      <alignment horizontal="center"/>
    </xf>
    <xf numFmtId="9" fontId="0" fillId="0" borderId="0" xfId="1" applyFont="1"/>
    <xf numFmtId="0" fontId="4" fillId="0" borderId="0" xfId="0" applyFont="1"/>
    <xf numFmtId="164" fontId="2" fillId="0" borderId="0" xfId="2" applyFont="1"/>
    <xf numFmtId="0" fontId="2" fillId="0" borderId="0" xfId="0" applyFont="1" applyAlignment="1">
      <alignment horizontal="left" vertical="center" indent="5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9" fontId="2" fillId="0" borderId="0" xfId="1" applyFont="1" applyAlignment="1">
      <alignment horizontal="left"/>
    </xf>
    <xf numFmtId="0" fontId="3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horizontal="left" indent="1"/>
    </xf>
    <xf numFmtId="0" fontId="3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9" fontId="2" fillId="0" borderId="8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702470</xdr:colOff>
      <xdr:row>25</xdr:row>
      <xdr:rowOff>107155</xdr:rowOff>
    </xdr:from>
    <xdr:to>
      <xdr:col>23</xdr:col>
      <xdr:colOff>458399</xdr:colOff>
      <xdr:row>43</xdr:row>
      <xdr:rowOff>120304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94720" y="5203030"/>
          <a:ext cx="5208992" cy="36564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57"/>
  <sheetViews>
    <sheetView tabSelected="1" zoomScale="80" zoomScaleNormal="80" workbookViewId="0">
      <pane ySplit="5" topLeftCell="A6" activePane="bottomLeft" state="frozen"/>
      <selection pane="bottomLeft" activeCell="C35" sqref="C35"/>
    </sheetView>
  </sheetViews>
  <sheetFormatPr defaultRowHeight="15.75" x14ac:dyDescent="0.25"/>
  <cols>
    <col min="1" max="1" width="9.140625" style="3"/>
    <col min="2" max="2" width="4.140625" style="1" customWidth="1"/>
    <col min="3" max="3" width="36.28515625" style="1" bestFit="1" customWidth="1"/>
    <col min="4" max="4" width="12.7109375" style="2" customWidth="1"/>
    <col min="5" max="8" width="10.7109375" style="2" customWidth="1"/>
    <col min="9" max="9" width="2.28515625" style="3" customWidth="1"/>
    <col min="10" max="10" width="29.7109375" style="3" customWidth="1"/>
    <col min="11" max="11" width="15.85546875" style="3" customWidth="1"/>
    <col min="12" max="12" width="21.28515625" style="3" customWidth="1"/>
    <col min="13" max="13" width="11.140625" style="3" customWidth="1"/>
    <col min="14" max="14" width="14" style="3" customWidth="1"/>
    <col min="15" max="15" width="13.7109375" style="3" bestFit="1" customWidth="1"/>
    <col min="16" max="16" width="14.42578125" style="3" bestFit="1" customWidth="1"/>
    <col min="17" max="17" width="12.7109375" style="3" bestFit="1" customWidth="1"/>
    <col min="18" max="16384" width="9.140625" style="3"/>
  </cols>
  <sheetData>
    <row r="1" spans="2:17" x14ac:dyDescent="0.25">
      <c r="H1" s="2" t="s">
        <v>109</v>
      </c>
    </row>
    <row r="2" spans="2:17" ht="18.75" x14ac:dyDescent="0.3">
      <c r="C2" s="41" t="s">
        <v>108</v>
      </c>
      <c r="D2" s="41"/>
      <c r="E2" s="41"/>
      <c r="F2" s="41"/>
      <c r="G2" s="41"/>
      <c r="H2" s="41"/>
    </row>
    <row r="4" spans="2:17" x14ac:dyDescent="0.25">
      <c r="B4" s="13"/>
      <c r="C4" s="6"/>
      <c r="D4" s="19"/>
      <c r="E4" s="42" t="s">
        <v>103</v>
      </c>
      <c r="F4" s="43"/>
      <c r="G4" s="43"/>
      <c r="H4" s="44"/>
    </row>
    <row r="5" spans="2:17" x14ac:dyDescent="0.25">
      <c r="B5" s="13"/>
      <c r="C5" s="6" t="s">
        <v>110</v>
      </c>
      <c r="D5" s="19"/>
      <c r="E5" s="19" t="s">
        <v>102</v>
      </c>
      <c r="F5" s="19" t="s">
        <v>105</v>
      </c>
      <c r="G5" s="19" t="s">
        <v>101</v>
      </c>
      <c r="H5" s="19" t="s">
        <v>100</v>
      </c>
      <c r="K5" s="17"/>
    </row>
    <row r="6" spans="2:17" x14ac:dyDescent="0.25">
      <c r="B6" s="7"/>
      <c r="C6" s="7"/>
      <c r="D6" s="8"/>
      <c r="E6" s="14"/>
      <c r="F6" s="14"/>
      <c r="G6" s="14"/>
      <c r="H6" s="14"/>
      <c r="J6" s="4"/>
    </row>
    <row r="7" spans="2:17" x14ac:dyDescent="0.25">
      <c r="B7" s="7"/>
      <c r="C7" s="7" t="s">
        <v>0</v>
      </c>
      <c r="D7" s="8" t="s">
        <v>1</v>
      </c>
      <c r="E7" s="15">
        <v>9.5000000000000001E-2</v>
      </c>
      <c r="F7" s="15">
        <v>0.15</v>
      </c>
      <c r="G7" s="15">
        <v>0.18</v>
      </c>
      <c r="H7" s="15">
        <v>0.22</v>
      </c>
      <c r="J7" s="3" t="s">
        <v>48</v>
      </c>
      <c r="N7" s="3">
        <f>2.5*10*3.75</f>
        <v>93.75</v>
      </c>
    </row>
    <row r="8" spans="2:17" x14ac:dyDescent="0.25">
      <c r="B8" s="7"/>
      <c r="C8" s="7" t="s">
        <v>2</v>
      </c>
      <c r="D8" s="8" t="s">
        <v>3</v>
      </c>
      <c r="E8" s="8">
        <v>72</v>
      </c>
      <c r="F8" s="8">
        <v>72</v>
      </c>
      <c r="G8" s="8">
        <v>72</v>
      </c>
      <c r="H8" s="8">
        <v>72</v>
      </c>
      <c r="J8" s="4" t="s">
        <v>49</v>
      </c>
      <c r="K8" s="3" t="s">
        <v>54</v>
      </c>
    </row>
    <row r="9" spans="2:17" x14ac:dyDescent="0.25">
      <c r="B9" s="13"/>
      <c r="C9" s="36" t="s">
        <v>4</v>
      </c>
      <c r="D9" s="37" t="s">
        <v>5</v>
      </c>
      <c r="E9" s="38">
        <f>E8*E7</f>
        <v>6.84</v>
      </c>
      <c r="F9" s="38">
        <f>F8*F7</f>
        <v>10.799999999999999</v>
      </c>
      <c r="G9" s="38">
        <f>G8*G7</f>
        <v>12.959999999999999</v>
      </c>
      <c r="H9" s="38">
        <f>H8*H7</f>
        <v>15.84</v>
      </c>
      <c r="J9" s="3" t="s">
        <v>106</v>
      </c>
      <c r="P9" s="24"/>
      <c r="Q9" s="24"/>
    </row>
    <row r="10" spans="2:17" x14ac:dyDescent="0.25">
      <c r="B10" s="7"/>
      <c r="C10" s="7"/>
      <c r="D10" s="8"/>
      <c r="E10" s="8"/>
      <c r="F10" s="8"/>
      <c r="G10" s="8"/>
      <c r="H10" s="8"/>
      <c r="J10" s="16"/>
    </row>
    <row r="11" spans="2:17" x14ac:dyDescent="0.25">
      <c r="B11" s="7"/>
      <c r="C11" s="7"/>
      <c r="D11" s="8"/>
      <c r="E11" s="8"/>
      <c r="F11" s="8"/>
      <c r="G11" s="8"/>
      <c r="H11" s="8"/>
      <c r="J11" s="16"/>
    </row>
    <row r="12" spans="2:17" x14ac:dyDescent="0.25">
      <c r="B12" s="7"/>
      <c r="C12" s="7" t="s">
        <v>6</v>
      </c>
      <c r="D12" s="8" t="s">
        <v>7</v>
      </c>
      <c r="E12" s="8">
        <v>12</v>
      </c>
      <c r="F12" s="8">
        <v>13</v>
      </c>
      <c r="G12" s="8">
        <v>15</v>
      </c>
      <c r="H12" s="8">
        <v>15</v>
      </c>
      <c r="J12" s="4" t="s">
        <v>50</v>
      </c>
    </row>
    <row r="13" spans="2:17" x14ac:dyDescent="0.25">
      <c r="B13" s="7"/>
      <c r="C13" s="7" t="s">
        <v>8</v>
      </c>
      <c r="D13" s="8" t="s">
        <v>97</v>
      </c>
      <c r="E13" s="12">
        <v>3.83</v>
      </c>
      <c r="F13" s="12">
        <v>5</v>
      </c>
      <c r="G13" s="12">
        <v>5</v>
      </c>
      <c r="H13" s="12">
        <v>7.66</v>
      </c>
      <c r="J13" s="3" t="s">
        <v>51</v>
      </c>
      <c r="O13" s="24"/>
    </row>
    <row r="14" spans="2:17" x14ac:dyDescent="0.25">
      <c r="B14" s="7"/>
      <c r="C14" s="7" t="s">
        <v>10</v>
      </c>
      <c r="D14" s="8" t="s">
        <v>11</v>
      </c>
      <c r="E14" s="8">
        <v>72</v>
      </c>
      <c r="F14" s="8">
        <v>72</v>
      </c>
      <c r="G14" s="8">
        <v>72</v>
      </c>
      <c r="H14" s="8">
        <v>72</v>
      </c>
      <c r="J14" s="4" t="s">
        <v>56</v>
      </c>
    </row>
    <row r="15" spans="2:17" x14ac:dyDescent="0.25">
      <c r="B15" s="7"/>
      <c r="C15" s="7" t="s">
        <v>12</v>
      </c>
      <c r="D15" s="8" t="s">
        <v>13</v>
      </c>
      <c r="E15" s="11">
        <f>E12*(E13)</f>
        <v>45.96</v>
      </c>
      <c r="F15" s="11">
        <f>F12*(F13)</f>
        <v>65</v>
      </c>
      <c r="G15" s="11">
        <f>G12*(G13)</f>
        <v>75</v>
      </c>
      <c r="H15" s="11">
        <f>H12*(H13)</f>
        <v>114.9</v>
      </c>
      <c r="J15" s="3" t="s">
        <v>55</v>
      </c>
    </row>
    <row r="16" spans="2:17" x14ac:dyDescent="0.25">
      <c r="B16" s="7"/>
      <c r="C16" s="7" t="s">
        <v>14</v>
      </c>
      <c r="D16" s="8" t="s">
        <v>15</v>
      </c>
      <c r="E16" s="12">
        <f>E14/1000</f>
        <v>7.1999999999999995E-2</v>
      </c>
      <c r="F16" s="12">
        <f>F14/1000</f>
        <v>7.1999999999999995E-2</v>
      </c>
      <c r="G16" s="12">
        <f>G14/1000</f>
        <v>7.1999999999999995E-2</v>
      </c>
      <c r="H16" s="12">
        <f>H14/1000</f>
        <v>7.1999999999999995E-2</v>
      </c>
      <c r="K16" s="3">
        <f>2.3/0.6</f>
        <v>3.833333333333333</v>
      </c>
      <c r="L16" s="18">
        <f>3/0.6</f>
        <v>5</v>
      </c>
    </row>
    <row r="17" spans="2:19" x14ac:dyDescent="0.25">
      <c r="B17" s="13"/>
      <c r="C17" s="36" t="s">
        <v>16</v>
      </c>
      <c r="D17" s="37" t="s">
        <v>5</v>
      </c>
      <c r="E17" s="38">
        <f>E16*E15</f>
        <v>3.3091199999999996</v>
      </c>
      <c r="F17" s="38">
        <f>F16*F15</f>
        <v>4.68</v>
      </c>
      <c r="G17" s="38">
        <f>G16*G15</f>
        <v>5.3999999999999995</v>
      </c>
      <c r="H17" s="38">
        <f>H16*H15</f>
        <v>8.2728000000000002</v>
      </c>
      <c r="K17" s="3">
        <f>K16*60</f>
        <v>229.99999999999997</v>
      </c>
      <c r="L17" s="3">
        <f>3.83*12</f>
        <v>45.96</v>
      </c>
    </row>
    <row r="18" spans="2:19" x14ac:dyDescent="0.25">
      <c r="B18" s="7"/>
      <c r="C18" s="7"/>
      <c r="D18" s="8"/>
      <c r="E18" s="12"/>
      <c r="F18" s="12"/>
      <c r="G18" s="12"/>
      <c r="H18" s="12"/>
      <c r="L18" s="3">
        <f>72*0.001*46</f>
        <v>3.3120000000000003</v>
      </c>
      <c r="O18" s="3">
        <f>300*0.6</f>
        <v>180</v>
      </c>
    </row>
    <row r="19" spans="2:19" x14ac:dyDescent="0.25">
      <c r="B19" s="7"/>
      <c r="C19" s="7" t="s">
        <v>17</v>
      </c>
      <c r="D19" s="8" t="s">
        <v>18</v>
      </c>
      <c r="E19" s="8">
        <f>20000/25/8</f>
        <v>100</v>
      </c>
      <c r="F19" s="8">
        <f>20000/25/8</f>
        <v>100</v>
      </c>
      <c r="G19" s="8">
        <f>20000/25/8</f>
        <v>100</v>
      </c>
      <c r="H19" s="8">
        <f>20000/25/8</f>
        <v>100</v>
      </c>
      <c r="J19" s="3" t="s">
        <v>19</v>
      </c>
      <c r="K19" s="3">
        <f>600*25</f>
        <v>15000</v>
      </c>
      <c r="L19" s="3">
        <v>100</v>
      </c>
    </row>
    <row r="20" spans="2:19" x14ac:dyDescent="0.25">
      <c r="B20" s="7"/>
      <c r="C20" s="7" t="s">
        <v>20</v>
      </c>
      <c r="D20" s="8" t="s">
        <v>18</v>
      </c>
      <c r="E20" s="10">
        <f>(15000/25/8)</f>
        <v>75</v>
      </c>
      <c r="F20" s="10">
        <f>(15000/25/8)</f>
        <v>75</v>
      </c>
      <c r="G20" s="10">
        <f>(15000/25/8)</f>
        <v>75</v>
      </c>
      <c r="H20" s="10">
        <f>(15000/25/8)</f>
        <v>75</v>
      </c>
      <c r="J20" s="3" t="s">
        <v>81</v>
      </c>
      <c r="K20" s="3">
        <f>300*25</f>
        <v>7500</v>
      </c>
      <c r="L20" s="3">
        <v>75</v>
      </c>
    </row>
    <row r="21" spans="2:19" x14ac:dyDescent="0.25">
      <c r="B21" s="7"/>
      <c r="C21" s="7" t="s">
        <v>21</v>
      </c>
      <c r="D21" s="8" t="s">
        <v>9</v>
      </c>
      <c r="E21" s="12">
        <f>E13</f>
        <v>3.83</v>
      </c>
      <c r="F21" s="12">
        <f>F13</f>
        <v>5</v>
      </c>
      <c r="G21" s="12">
        <f>G13</f>
        <v>5</v>
      </c>
      <c r="H21" s="12">
        <f>H13</f>
        <v>7.66</v>
      </c>
      <c r="J21" s="3" t="s">
        <v>107</v>
      </c>
    </row>
    <row r="22" spans="2:19" x14ac:dyDescent="0.25">
      <c r="B22" s="13"/>
      <c r="C22" s="36" t="s">
        <v>22</v>
      </c>
      <c r="D22" s="37" t="s">
        <v>5</v>
      </c>
      <c r="E22" s="38">
        <f>(E19+E20)/(60)*E21</f>
        <v>11.170833333333333</v>
      </c>
      <c r="F22" s="38">
        <f>(F19+F20)/(60)*F21</f>
        <v>14.583333333333332</v>
      </c>
      <c r="G22" s="38">
        <f>(G19+G20)/(60)*G21</f>
        <v>14.583333333333332</v>
      </c>
      <c r="H22" s="38">
        <f>(H19+H20)/(60)*H21</f>
        <v>22.341666666666665</v>
      </c>
      <c r="K22" s="3">
        <f>(E19+E20)/60*3.83</f>
        <v>11.170833333333333</v>
      </c>
    </row>
    <row r="23" spans="2:19" x14ac:dyDescent="0.25">
      <c r="B23" s="7"/>
      <c r="C23" s="7"/>
      <c r="D23" s="19"/>
      <c r="E23" s="12"/>
      <c r="F23" s="12"/>
      <c r="G23" s="12"/>
      <c r="H23" s="12"/>
    </row>
    <row r="24" spans="2:19" x14ac:dyDescent="0.25">
      <c r="B24" s="7"/>
      <c r="C24" s="7" t="s">
        <v>23</v>
      </c>
      <c r="D24" s="8" t="s">
        <v>24</v>
      </c>
      <c r="E24" s="8">
        <v>170</v>
      </c>
      <c r="F24" s="8">
        <v>200</v>
      </c>
      <c r="G24" s="8">
        <v>220</v>
      </c>
      <c r="H24" s="8">
        <v>280</v>
      </c>
      <c r="N24" s="3">
        <f>177*27</f>
        <v>4779</v>
      </c>
      <c r="O24" s="23" t="s">
        <v>82</v>
      </c>
    </row>
    <row r="25" spans="2:19" x14ac:dyDescent="0.25">
      <c r="B25" s="7"/>
      <c r="C25" s="7" t="s">
        <v>25</v>
      </c>
      <c r="D25" s="8" t="s">
        <v>26</v>
      </c>
      <c r="E25" s="8">
        <v>20</v>
      </c>
      <c r="F25" s="8">
        <v>24</v>
      </c>
      <c r="G25" s="8">
        <v>25</v>
      </c>
      <c r="H25" s="8">
        <v>28</v>
      </c>
      <c r="O25" s="3" t="s">
        <v>83</v>
      </c>
      <c r="S25" s="18"/>
    </row>
    <row r="26" spans="2:19" x14ac:dyDescent="0.25">
      <c r="B26" s="7"/>
      <c r="C26" s="7" t="s">
        <v>27</v>
      </c>
      <c r="D26" s="8" t="s">
        <v>28</v>
      </c>
      <c r="E26" s="8">
        <f>80%*8.5+20%*13</f>
        <v>9.4</v>
      </c>
      <c r="F26" s="8">
        <f>80%*8.5+20%*13</f>
        <v>9.4</v>
      </c>
      <c r="G26" s="8">
        <f>80%*8.5+20%*13</f>
        <v>9.4</v>
      </c>
      <c r="H26" s="8">
        <f>80%*8.5+20%*13</f>
        <v>9.4</v>
      </c>
      <c r="J26" s="3" t="s">
        <v>57</v>
      </c>
      <c r="K26" s="17"/>
      <c r="L26" s="17">
        <f>E28/E26</f>
        <v>0.21703333333333336</v>
      </c>
    </row>
    <row r="27" spans="2:19" x14ac:dyDescent="0.25">
      <c r="B27" s="7"/>
      <c r="C27" s="7" t="s">
        <v>21</v>
      </c>
      <c r="D27" s="8" t="s">
        <v>9</v>
      </c>
      <c r="E27" s="8">
        <f>E13</f>
        <v>3.83</v>
      </c>
      <c r="F27" s="12">
        <f>F13</f>
        <v>5</v>
      </c>
      <c r="G27" s="12">
        <f>G13</f>
        <v>5</v>
      </c>
      <c r="H27" s="8">
        <f>H13</f>
        <v>7.66</v>
      </c>
      <c r="K27" s="2"/>
      <c r="L27" s="2" t="s">
        <v>47</v>
      </c>
      <c r="N27" s="3">
        <f>170*20/1000*9.4/60*3.83</f>
        <v>2.0401133333333337</v>
      </c>
    </row>
    <row r="28" spans="2:19" x14ac:dyDescent="0.25">
      <c r="B28" s="13"/>
      <c r="C28" s="36" t="s">
        <v>29</v>
      </c>
      <c r="D28" s="37" t="s">
        <v>5</v>
      </c>
      <c r="E28" s="38">
        <f>(E24*E25/1000)*(E27/60)*E26</f>
        <v>2.0401133333333337</v>
      </c>
      <c r="F28" s="38">
        <f>(F24*F25/1000)*(F27/60)*F26</f>
        <v>3.76</v>
      </c>
      <c r="G28" s="38">
        <f>(G24*G25/1000)*(G27/60)*G26</f>
        <v>4.3083333333333336</v>
      </c>
      <c r="H28" s="38">
        <f>(H24*H25/1000)*(H27/60)*H26</f>
        <v>9.4085226666666681</v>
      </c>
    </row>
    <row r="29" spans="2:19" x14ac:dyDescent="0.25">
      <c r="B29" s="7"/>
      <c r="C29" s="7"/>
      <c r="D29" s="8"/>
      <c r="E29" s="8"/>
      <c r="F29" s="8"/>
      <c r="G29" s="8"/>
      <c r="H29" s="8"/>
      <c r="J29" s="3" t="s">
        <v>31</v>
      </c>
      <c r="K29" s="3">
        <f>8*25*12</f>
        <v>2400</v>
      </c>
      <c r="L29" s="3" t="s">
        <v>32</v>
      </c>
    </row>
    <row r="30" spans="2:19" x14ac:dyDescent="0.25">
      <c r="B30" s="7"/>
      <c r="C30" s="7" t="s">
        <v>30</v>
      </c>
      <c r="D30" s="8"/>
      <c r="E30" s="8"/>
      <c r="F30" s="8"/>
      <c r="G30" s="8"/>
      <c r="H30" s="8"/>
    </row>
    <row r="31" spans="2:19" x14ac:dyDescent="0.25">
      <c r="B31" s="7"/>
      <c r="C31" s="7" t="s">
        <v>80</v>
      </c>
      <c r="D31" s="8" t="s">
        <v>5</v>
      </c>
      <c r="E31" s="12">
        <f>($K$34)/($K$29)*(E27/60)</f>
        <v>4.601319444444445</v>
      </c>
      <c r="F31" s="12">
        <f>($K$34)/($K$29)*(F27/60)</f>
        <v>6.0069444444444438</v>
      </c>
      <c r="G31" s="12">
        <f>($K$34)/($K$29)*(G27/60)</f>
        <v>6.0069444444444438</v>
      </c>
      <c r="H31" s="12">
        <f>($K$34)/($K$29)*(H27/60)</f>
        <v>9.2026388888888899</v>
      </c>
      <c r="J31" s="3" t="s">
        <v>70</v>
      </c>
      <c r="K31" s="20">
        <v>865000</v>
      </c>
    </row>
    <row r="32" spans="2:19" x14ac:dyDescent="0.25">
      <c r="B32" s="7"/>
      <c r="C32" s="7" t="s">
        <v>74</v>
      </c>
      <c r="D32" s="8" t="s">
        <v>5</v>
      </c>
      <c r="E32" s="12">
        <f>($K$35)/($K$29)*(E27/60)</f>
        <v>2.760791666666667</v>
      </c>
      <c r="F32" s="12">
        <f>($K$35)/($K$29)*(F27/60)</f>
        <v>3.6041666666666665</v>
      </c>
      <c r="G32" s="12">
        <f>($K$35)/($K$29)*(G27/60)</f>
        <v>3.6041666666666665</v>
      </c>
      <c r="H32" s="12">
        <f>($K$35)/($K$29)*(H27/60)</f>
        <v>5.521583333333334</v>
      </c>
      <c r="J32" s="3" t="s">
        <v>71</v>
      </c>
      <c r="K32" s="20">
        <v>5</v>
      </c>
      <c r="L32" s="3" t="s">
        <v>72</v>
      </c>
    </row>
    <row r="33" spans="2:20" x14ac:dyDescent="0.25">
      <c r="B33" s="7"/>
      <c r="C33" s="7" t="s">
        <v>98</v>
      </c>
      <c r="D33" s="8" t="s">
        <v>5</v>
      </c>
      <c r="E33" s="12">
        <f>(2.75*0.12*10^5)/$M$33</f>
        <v>0.41249999999999992</v>
      </c>
      <c r="F33" s="12">
        <f>(2.75*0.12*10^5)/$M$33</f>
        <v>0.41249999999999992</v>
      </c>
      <c r="G33" s="12">
        <f>(2.75*0.12*10^5)/$M$33</f>
        <v>0.41249999999999992</v>
      </c>
      <c r="H33" s="12">
        <f>(2.75*0.12*10^5)/$M$33</f>
        <v>0.41249999999999992</v>
      </c>
      <c r="M33" s="20">
        <f>((8*60*25*12)/0.6)/3</f>
        <v>80000</v>
      </c>
      <c r="N33" s="3" t="s">
        <v>104</v>
      </c>
      <c r="T33" s="4"/>
    </row>
    <row r="34" spans="2:20" x14ac:dyDescent="0.25">
      <c r="B34" s="7"/>
      <c r="C34" s="7" t="s">
        <v>33</v>
      </c>
      <c r="D34" s="8" t="s">
        <v>5</v>
      </c>
      <c r="E34" s="12">
        <f>($K$36/$K$29)*(E27/60)</f>
        <v>1.1503298611111112</v>
      </c>
      <c r="F34" s="12">
        <f>($K$36/$K$29)*(F27/60)</f>
        <v>1.5017361111111109</v>
      </c>
      <c r="G34" s="12">
        <f>($K$36/$K$29)*(G27/60)</f>
        <v>1.5017361111111109</v>
      </c>
      <c r="H34" s="12">
        <f>($K$36/$K$29)*(H27/60)</f>
        <v>2.3006597222222225</v>
      </c>
      <c r="J34" s="3" t="s">
        <v>73</v>
      </c>
      <c r="K34" s="20">
        <f>K31/K32</f>
        <v>173000</v>
      </c>
      <c r="L34" s="3" t="s">
        <v>46</v>
      </c>
      <c r="P34" s="25"/>
    </row>
    <row r="35" spans="2:20" x14ac:dyDescent="0.25">
      <c r="B35" s="7"/>
      <c r="C35" s="7" t="s">
        <v>34</v>
      </c>
      <c r="D35" s="8" t="s">
        <v>5</v>
      </c>
      <c r="E35" s="12">
        <f>($K$37/$K$29)*(E27/60)</f>
        <v>1.5958333333333334</v>
      </c>
      <c r="F35" s="12">
        <f>($K$37/$K$29)*(F27/60)</f>
        <v>2.083333333333333</v>
      </c>
      <c r="G35" s="12">
        <f>($K$37/$K$29)*(G27/60)</f>
        <v>2.083333333333333</v>
      </c>
      <c r="H35" s="12">
        <f>($K$37/$K$29)*(H27/60)</f>
        <v>3.1916666666666669</v>
      </c>
      <c r="J35" s="3" t="s">
        <v>74</v>
      </c>
      <c r="K35" s="21">
        <f>K31*0.12</f>
        <v>103800</v>
      </c>
      <c r="L35" s="3" t="s">
        <v>75</v>
      </c>
      <c r="P35" s="25"/>
    </row>
    <row r="36" spans="2:20" x14ac:dyDescent="0.25">
      <c r="B36" s="7"/>
      <c r="C36" s="7" t="s">
        <v>35</v>
      </c>
      <c r="D36" s="8" t="s">
        <v>5</v>
      </c>
      <c r="E36" s="12">
        <f>(($K$38)/$K$29)*(E27/60)</f>
        <v>3.6233395833333337</v>
      </c>
      <c r="F36" s="12">
        <f>(($K$38)/$K$29)*(F27/60)</f>
        <v>4.7302083333333336</v>
      </c>
      <c r="G36" s="12">
        <f>(($K$38+$K$57)/$K$29)*(G27/60)</f>
        <v>5.7763888888888886</v>
      </c>
      <c r="H36" s="12">
        <f>(($K$38+$K$57)/$K$29)*(H27/60)</f>
        <v>8.8494277777777786</v>
      </c>
      <c r="J36" s="3" t="s">
        <v>76</v>
      </c>
      <c r="K36" s="21">
        <f>K31*0.05</f>
        <v>43250</v>
      </c>
      <c r="L36" s="3" t="s">
        <v>77</v>
      </c>
      <c r="P36" s="25"/>
    </row>
    <row r="37" spans="2:20" s="5" customFormat="1" x14ac:dyDescent="0.25">
      <c r="B37" s="13"/>
      <c r="C37" s="36" t="s">
        <v>36</v>
      </c>
      <c r="D37" s="37" t="s">
        <v>5</v>
      </c>
      <c r="E37" s="38">
        <f>SUM(E31:E36)</f>
        <v>14.144113888888889</v>
      </c>
      <c r="F37" s="38">
        <f>SUM(F31:F36)</f>
        <v>18.338888888888889</v>
      </c>
      <c r="G37" s="38">
        <f>SUM(G31:G36)</f>
        <v>19.385069444444444</v>
      </c>
      <c r="H37" s="38">
        <f>SUM(H31:H36)</f>
        <v>29.478476388888893</v>
      </c>
      <c r="J37" s="3" t="s">
        <v>78</v>
      </c>
      <c r="K37" s="20">
        <f>100*50*12</f>
        <v>60000</v>
      </c>
      <c r="L37" s="3" t="s">
        <v>99</v>
      </c>
      <c r="P37" s="25"/>
    </row>
    <row r="38" spans="2:20" x14ac:dyDescent="0.25">
      <c r="B38" s="7"/>
      <c r="C38" s="7"/>
      <c r="D38" s="8"/>
      <c r="E38" s="8"/>
      <c r="F38" s="8"/>
      <c r="G38" s="8"/>
      <c r="H38" s="8"/>
      <c r="J38" s="3" t="s">
        <v>79</v>
      </c>
      <c r="K38" s="20">
        <f>K55+(K31*10%)</f>
        <v>136230</v>
      </c>
      <c r="P38" s="25"/>
    </row>
    <row r="39" spans="2:20" x14ac:dyDescent="0.25">
      <c r="B39" s="13"/>
      <c r="C39" s="36" t="s">
        <v>37</v>
      </c>
      <c r="D39" s="37" t="s">
        <v>5</v>
      </c>
      <c r="E39" s="38">
        <f>E9+E28+E22+E17+E37</f>
        <v>37.504180555555557</v>
      </c>
      <c r="F39" s="38">
        <f>F9+F28+F22+F17+F37</f>
        <v>52.162222222222219</v>
      </c>
      <c r="G39" s="38">
        <f>G9+G28+G22+G17+G37</f>
        <v>56.636736111111105</v>
      </c>
      <c r="H39" s="38">
        <f>H9+H28+H22+H17+H37</f>
        <v>85.341465722222225</v>
      </c>
      <c r="K39" s="20">
        <f>SUM(K34:K38)</f>
        <v>516280</v>
      </c>
      <c r="P39" s="25"/>
    </row>
    <row r="40" spans="2:20" x14ac:dyDescent="0.25">
      <c r="B40" s="13"/>
      <c r="C40" s="36" t="s">
        <v>147</v>
      </c>
      <c r="D40" s="37" t="s">
        <v>5</v>
      </c>
      <c r="E40" s="38">
        <v>24</v>
      </c>
      <c r="F40" s="38">
        <v>35</v>
      </c>
      <c r="G40" s="38">
        <v>43</v>
      </c>
      <c r="H40" s="38">
        <v>64</v>
      </c>
      <c r="K40" s="20"/>
      <c r="P40" s="25"/>
    </row>
    <row r="41" spans="2:20" x14ac:dyDescent="0.25">
      <c r="J41" s="3" t="s">
        <v>38</v>
      </c>
      <c r="K41" s="3">
        <f>1200*2</f>
        <v>2400</v>
      </c>
      <c r="L41" s="3" t="s">
        <v>52</v>
      </c>
    </row>
    <row r="42" spans="2:20" x14ac:dyDescent="0.25">
      <c r="J42" s="3" t="s">
        <v>39</v>
      </c>
      <c r="K42" s="3">
        <f>50*200</f>
        <v>10000</v>
      </c>
      <c r="L42" s="3" t="s">
        <v>53</v>
      </c>
    </row>
    <row r="43" spans="2:20" x14ac:dyDescent="0.25">
      <c r="J43" s="3" t="s">
        <v>40</v>
      </c>
      <c r="K43" s="3">
        <f>5*25*12</f>
        <v>1500</v>
      </c>
      <c r="L43" s="3" t="s">
        <v>64</v>
      </c>
      <c r="M43" s="3" t="s">
        <v>63</v>
      </c>
    </row>
    <row r="44" spans="2:20" x14ac:dyDescent="0.25">
      <c r="J44" s="3" t="s">
        <v>41</v>
      </c>
      <c r="K44" s="3">
        <f>(25/3)*12*(70+10)</f>
        <v>8000</v>
      </c>
      <c r="L44" s="3" t="s">
        <v>59</v>
      </c>
      <c r="M44" s="3" t="s">
        <v>58</v>
      </c>
    </row>
    <row r="45" spans="2:20" x14ac:dyDescent="0.25">
      <c r="J45" s="3" t="s">
        <v>42</v>
      </c>
      <c r="K45" s="3">
        <f>(25/2)*12*56</f>
        <v>8400</v>
      </c>
      <c r="L45" s="3" t="s">
        <v>92</v>
      </c>
      <c r="M45" s="3" t="s">
        <v>60</v>
      </c>
    </row>
    <row r="46" spans="2:20" x14ac:dyDescent="0.25">
      <c r="J46" s="3" t="s">
        <v>43</v>
      </c>
      <c r="K46" s="3">
        <f>100*12</f>
        <v>1200</v>
      </c>
      <c r="L46" s="3" t="s">
        <v>61</v>
      </c>
    </row>
    <row r="47" spans="2:20" x14ac:dyDescent="0.25">
      <c r="J47" s="3" t="s">
        <v>44</v>
      </c>
      <c r="K47" s="3">
        <f>(25/3)*12*(42)</f>
        <v>4200</v>
      </c>
      <c r="L47" s="3" t="s">
        <v>59</v>
      </c>
      <c r="M47" s="3" t="s">
        <v>62</v>
      </c>
    </row>
    <row r="48" spans="2:20" x14ac:dyDescent="0.25">
      <c r="J48" s="3" t="s">
        <v>67</v>
      </c>
      <c r="K48" s="3">
        <f>50*25</f>
        <v>1250</v>
      </c>
      <c r="L48" s="3" t="s">
        <v>53</v>
      </c>
      <c r="M48" s="3" t="s">
        <v>68</v>
      </c>
    </row>
    <row r="49" spans="10:15" x14ac:dyDescent="0.25">
      <c r="J49" s="3" t="s">
        <v>45</v>
      </c>
      <c r="K49" s="3">
        <f>3*25*12</f>
        <v>900</v>
      </c>
      <c r="L49" s="3" t="s">
        <v>64</v>
      </c>
      <c r="M49" s="3" t="s">
        <v>65</v>
      </c>
      <c r="O49" s="3" t="s">
        <v>84</v>
      </c>
    </row>
    <row r="50" spans="10:15" x14ac:dyDescent="0.25">
      <c r="J50" s="3" t="s">
        <v>85</v>
      </c>
      <c r="K50" s="3">
        <f>50*200</f>
        <v>10000</v>
      </c>
      <c r="L50" s="3" t="s">
        <v>53</v>
      </c>
      <c r="M50" s="3" t="s">
        <v>86</v>
      </c>
      <c r="O50" s="3" t="s">
        <v>66</v>
      </c>
    </row>
    <row r="51" spans="10:15" x14ac:dyDescent="0.25">
      <c r="J51" s="3" t="s">
        <v>87</v>
      </c>
      <c r="K51" s="3">
        <v>600</v>
      </c>
      <c r="L51" s="3" t="s">
        <v>88</v>
      </c>
    </row>
    <row r="52" spans="10:15" x14ac:dyDescent="0.25">
      <c r="J52" s="3" t="s">
        <v>89</v>
      </c>
      <c r="K52" s="3">
        <f>90*(12/3)</f>
        <v>360</v>
      </c>
      <c r="L52" s="3" t="s">
        <v>90</v>
      </c>
      <c r="M52" s="3" t="s">
        <v>91</v>
      </c>
    </row>
    <row r="53" spans="10:15" x14ac:dyDescent="0.25">
      <c r="J53" s="3" t="s">
        <v>93</v>
      </c>
      <c r="K53" s="3">
        <f>150*(12/3)</f>
        <v>600</v>
      </c>
      <c r="L53" s="3" t="s">
        <v>90</v>
      </c>
      <c r="M53" s="3" t="s">
        <v>94</v>
      </c>
    </row>
    <row r="54" spans="10:15" x14ac:dyDescent="0.25">
      <c r="J54" s="3" t="s">
        <v>95</v>
      </c>
      <c r="K54" s="3">
        <f>80*(12/3)</f>
        <v>320</v>
      </c>
      <c r="L54" s="3" t="s">
        <v>90</v>
      </c>
      <c r="M54" s="3" t="s">
        <v>96</v>
      </c>
    </row>
    <row r="55" spans="10:15" x14ac:dyDescent="0.25">
      <c r="J55" s="3" t="s">
        <v>69</v>
      </c>
      <c r="K55" s="3">
        <f>SUM(K41:K54)</f>
        <v>49730</v>
      </c>
      <c r="L55" s="3" t="s">
        <v>46</v>
      </c>
    </row>
    <row r="57" spans="10:15" x14ac:dyDescent="0.25">
      <c r="J57" s="3" t="s">
        <v>148</v>
      </c>
      <c r="K57" s="3">
        <f>K55-K45-K46-K50</f>
        <v>30130</v>
      </c>
    </row>
  </sheetData>
  <autoFilter ref="B4:E41" xr:uid="{00000000-0009-0000-0000-000000000000}"/>
  <mergeCells count="2">
    <mergeCell ref="C2:H2"/>
    <mergeCell ref="E4:H4"/>
  </mergeCells>
  <pageMargins left="0.36" right="0.34" top="0.67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43"/>
  <sheetViews>
    <sheetView zoomScale="80" zoomScaleNormal="80" workbookViewId="0">
      <pane ySplit="4" topLeftCell="A5" activePane="bottomLeft" state="frozen"/>
      <selection pane="bottomLeft" activeCell="G44" sqref="G44"/>
    </sheetView>
  </sheetViews>
  <sheetFormatPr defaultRowHeight="15.75" x14ac:dyDescent="0.25"/>
  <cols>
    <col min="1" max="1" width="9.140625" style="3"/>
    <col min="2" max="2" width="4.140625" style="1" customWidth="1"/>
    <col min="3" max="3" width="39.5703125" style="1" customWidth="1"/>
    <col min="4" max="4" width="15.28515625" style="2" customWidth="1"/>
    <col min="5" max="5" width="13.28515625" style="2" customWidth="1"/>
    <col min="6" max="6" width="2.28515625" style="3" customWidth="1"/>
    <col min="7" max="7" width="29.7109375" style="3" customWidth="1"/>
    <col min="8" max="8" width="12.42578125" style="3" bestFit="1" customWidth="1"/>
    <col min="9" max="9" width="21.28515625" style="3" customWidth="1"/>
    <col min="10" max="10" width="11.140625" style="3" customWidth="1"/>
    <col min="11" max="11" width="14" style="3" customWidth="1"/>
    <col min="12" max="12" width="13.7109375" style="3" bestFit="1" customWidth="1"/>
    <col min="13" max="13" width="14.42578125" style="3" bestFit="1" customWidth="1"/>
    <col min="14" max="14" width="12.7109375" style="3" bestFit="1" customWidth="1"/>
    <col min="15" max="16384" width="9.140625" style="3"/>
  </cols>
  <sheetData>
    <row r="1" spans="2:14" x14ac:dyDescent="0.25">
      <c r="E1" s="2" t="s">
        <v>109</v>
      </c>
    </row>
    <row r="2" spans="2:14" ht="18.75" x14ac:dyDescent="0.3">
      <c r="C2" s="41" t="s">
        <v>111</v>
      </c>
      <c r="D2" s="41"/>
      <c r="E2" s="41"/>
    </row>
    <row r="4" spans="2:14" x14ac:dyDescent="0.25">
      <c r="B4" s="13"/>
      <c r="C4" s="6" t="s">
        <v>110</v>
      </c>
      <c r="D4" s="19"/>
      <c r="E4" s="19"/>
      <c r="H4" s="17"/>
    </row>
    <row r="5" spans="2:14" x14ac:dyDescent="0.25">
      <c r="B5" s="7"/>
      <c r="C5" s="7"/>
      <c r="D5" s="8"/>
      <c r="E5" s="14"/>
      <c r="G5" s="4"/>
    </row>
    <row r="6" spans="2:14" x14ac:dyDescent="0.25">
      <c r="B6" s="7"/>
      <c r="C6" s="7" t="s">
        <v>116</v>
      </c>
      <c r="D6" s="8" t="s">
        <v>117</v>
      </c>
      <c r="E6" s="30">
        <f>(H6+H7)/M8</f>
        <v>3.1960784313725492</v>
      </c>
      <c r="G6" s="3" t="s">
        <v>142</v>
      </c>
      <c r="H6" s="3">
        <f>J6*(12/2)</f>
        <v>68400</v>
      </c>
      <c r="I6" s="3" t="s">
        <v>114</v>
      </c>
      <c r="J6" s="3">
        <v>11400</v>
      </c>
      <c r="K6" s="3" t="s">
        <v>127</v>
      </c>
      <c r="L6" s="3" t="s">
        <v>120</v>
      </c>
      <c r="M6" s="3">
        <v>3</v>
      </c>
      <c r="N6" s="3" t="s">
        <v>121</v>
      </c>
    </row>
    <row r="7" spans="2:14" x14ac:dyDescent="0.25">
      <c r="B7" s="7"/>
      <c r="C7" s="7" t="s">
        <v>118</v>
      </c>
      <c r="D7" s="8" t="s">
        <v>117</v>
      </c>
      <c r="E7" s="12">
        <f>H8/M8</f>
        <v>1.7647058823529411</v>
      </c>
      <c r="G7" s="3" t="s">
        <v>113</v>
      </c>
      <c r="H7" s="3">
        <f>J7*(12/2)</f>
        <v>29400</v>
      </c>
      <c r="I7" s="3" t="s">
        <v>114</v>
      </c>
      <c r="J7" s="3">
        <v>4900</v>
      </c>
      <c r="K7" s="3" t="s">
        <v>127</v>
      </c>
      <c r="M7" s="3">
        <f>60/3*0.85</f>
        <v>17</v>
      </c>
      <c r="N7" s="3" t="s">
        <v>122</v>
      </c>
    </row>
    <row r="8" spans="2:14" x14ac:dyDescent="0.25">
      <c r="B8" s="13"/>
      <c r="C8" s="36" t="s">
        <v>124</v>
      </c>
      <c r="D8" s="37" t="s">
        <v>5</v>
      </c>
      <c r="E8" s="38">
        <f>E7+E6</f>
        <v>4.9607843137254903</v>
      </c>
      <c r="G8" s="3" t="s">
        <v>115</v>
      </c>
      <c r="H8" s="3">
        <f>J8*3*25*12</f>
        <v>54000</v>
      </c>
      <c r="I8" s="3" t="s">
        <v>128</v>
      </c>
      <c r="J8" s="3">
        <v>60</v>
      </c>
      <c r="K8" s="3" t="s">
        <v>127</v>
      </c>
      <c r="M8" s="3">
        <f>M7*6*25*12</f>
        <v>30600</v>
      </c>
      <c r="N8" s="3" t="s">
        <v>123</v>
      </c>
    </row>
    <row r="9" spans="2:14" x14ac:dyDescent="0.25">
      <c r="B9" s="7"/>
      <c r="C9" s="7"/>
      <c r="D9" s="8"/>
      <c r="E9" s="8"/>
    </row>
    <row r="10" spans="2:14" x14ac:dyDescent="0.25">
      <c r="B10" s="7"/>
      <c r="C10" s="7" t="s">
        <v>8</v>
      </c>
      <c r="D10" s="8" t="s">
        <v>97</v>
      </c>
      <c r="E10" s="12">
        <v>3</v>
      </c>
      <c r="G10" s="18">
        <f>1.76/0.6</f>
        <v>2.9333333333333336</v>
      </c>
      <c r="H10" s="3" t="s">
        <v>129</v>
      </c>
      <c r="L10" s="24"/>
    </row>
    <row r="11" spans="2:14" x14ac:dyDescent="0.25">
      <c r="B11" s="7"/>
      <c r="C11" s="7"/>
      <c r="D11" s="8"/>
      <c r="E11" s="12"/>
    </row>
    <row r="12" spans="2:14" x14ac:dyDescent="0.25">
      <c r="B12" s="7"/>
      <c r="C12" s="7" t="s">
        <v>17</v>
      </c>
      <c r="D12" s="8" t="s">
        <v>18</v>
      </c>
      <c r="E12" s="8">
        <f>15000/25/8</f>
        <v>75</v>
      </c>
      <c r="G12" s="3" t="s">
        <v>19</v>
      </c>
      <c r="H12" s="3">
        <f>600*25</f>
        <v>15000</v>
      </c>
      <c r="I12" s="3">
        <f>600/8</f>
        <v>75</v>
      </c>
    </row>
    <row r="13" spans="2:14" x14ac:dyDescent="0.25">
      <c r="B13" s="7"/>
      <c r="C13" s="7" t="s">
        <v>20</v>
      </c>
      <c r="D13" s="8" t="s">
        <v>18</v>
      </c>
      <c r="E13" s="10">
        <f>(7500/25/8)</f>
        <v>37.5</v>
      </c>
      <c r="G13" s="3" t="s">
        <v>81</v>
      </c>
      <c r="H13" s="3">
        <f>300*25</f>
        <v>7500</v>
      </c>
      <c r="I13" s="3">
        <f>300/8</f>
        <v>37.5</v>
      </c>
      <c r="L13" s="3" t="s">
        <v>134</v>
      </c>
      <c r="M13" s="3">
        <f>1000*25*12*0.4</f>
        <v>120000</v>
      </c>
      <c r="N13" s="3" t="s">
        <v>141</v>
      </c>
    </row>
    <row r="14" spans="2:14" x14ac:dyDescent="0.25">
      <c r="B14" s="7"/>
      <c r="C14" s="7" t="s">
        <v>21</v>
      </c>
      <c r="D14" s="8" t="s">
        <v>9</v>
      </c>
      <c r="E14" s="12">
        <f>E10</f>
        <v>3</v>
      </c>
      <c r="M14" s="3">
        <f>M13*0.2</f>
        <v>24000</v>
      </c>
      <c r="N14" s="3" t="s">
        <v>133</v>
      </c>
    </row>
    <row r="15" spans="2:14" x14ac:dyDescent="0.25">
      <c r="B15" s="13"/>
      <c r="C15" s="36" t="s">
        <v>22</v>
      </c>
      <c r="D15" s="37" t="s">
        <v>5</v>
      </c>
      <c r="E15" s="38">
        <f>(E12+E13)/(60)*E14</f>
        <v>5.625</v>
      </c>
      <c r="M15" s="3">
        <f>M14/30000</f>
        <v>0.8</v>
      </c>
      <c r="N15" s="3" t="s">
        <v>117</v>
      </c>
    </row>
    <row r="16" spans="2:14" x14ac:dyDescent="0.25">
      <c r="B16" s="7"/>
      <c r="C16" s="7"/>
      <c r="D16" s="19"/>
      <c r="E16" s="12"/>
    </row>
    <row r="17" spans="2:17" x14ac:dyDescent="0.25">
      <c r="B17" s="7"/>
      <c r="C17" s="7" t="s">
        <v>125</v>
      </c>
      <c r="D17" s="8" t="s">
        <v>126</v>
      </c>
      <c r="E17" s="8">
        <f>H17</f>
        <v>0.79999999999999993</v>
      </c>
      <c r="G17" s="3" t="s">
        <v>130</v>
      </c>
      <c r="H17" s="3">
        <f>1/1.5*1.2</f>
        <v>0.79999999999999993</v>
      </c>
      <c r="I17" s="3" t="s">
        <v>131</v>
      </c>
      <c r="P17" s="18"/>
    </row>
    <row r="18" spans="2:17" x14ac:dyDescent="0.25">
      <c r="B18" s="7"/>
      <c r="C18" s="7" t="s">
        <v>27</v>
      </c>
      <c r="D18" s="8" t="s">
        <v>28</v>
      </c>
      <c r="E18" s="8">
        <f>80%*8.5+20%*13</f>
        <v>9.4</v>
      </c>
      <c r="G18" s="3" t="s">
        <v>57</v>
      </c>
      <c r="H18" s="17"/>
      <c r="I18" s="17"/>
    </row>
    <row r="19" spans="2:17" x14ac:dyDescent="0.25">
      <c r="B19" s="13"/>
      <c r="C19" s="36" t="s">
        <v>29</v>
      </c>
      <c r="D19" s="37" t="s">
        <v>5</v>
      </c>
      <c r="E19" s="38">
        <f>E18*E17</f>
        <v>7.52</v>
      </c>
    </row>
    <row r="20" spans="2:17" x14ac:dyDescent="0.25">
      <c r="B20" s="7"/>
      <c r="C20" s="7"/>
      <c r="D20" s="8"/>
      <c r="E20" s="8"/>
      <c r="G20" s="3" t="s">
        <v>31</v>
      </c>
      <c r="H20" s="3">
        <f>8*25*12</f>
        <v>2400</v>
      </c>
      <c r="I20" s="3" t="s">
        <v>32</v>
      </c>
    </row>
    <row r="21" spans="2:17" x14ac:dyDescent="0.25">
      <c r="B21" s="7"/>
      <c r="C21" s="7" t="s">
        <v>30</v>
      </c>
      <c r="D21" s="8"/>
      <c r="E21" s="8"/>
      <c r="L21" s="3" t="s">
        <v>38</v>
      </c>
      <c r="M21" s="3">
        <f>1200*2</f>
        <v>2400</v>
      </c>
      <c r="N21" s="3" t="s">
        <v>52</v>
      </c>
    </row>
    <row r="22" spans="2:17" x14ac:dyDescent="0.25">
      <c r="B22" s="7"/>
      <c r="C22" s="7" t="s">
        <v>80</v>
      </c>
      <c r="D22" s="8" t="s">
        <v>5</v>
      </c>
      <c r="E22" s="12">
        <f>(H25)/($H$20)*(J22/60)</f>
        <v>5.25</v>
      </c>
      <c r="G22" s="3" t="s">
        <v>70</v>
      </c>
      <c r="H22" s="20">
        <v>2100000</v>
      </c>
      <c r="I22" s="3" t="s">
        <v>140</v>
      </c>
      <c r="J22" s="8">
        <f>E10</f>
        <v>3</v>
      </c>
      <c r="K22" s="3" t="s">
        <v>119</v>
      </c>
      <c r="L22" s="3" t="s">
        <v>39</v>
      </c>
      <c r="M22" s="3">
        <f>50*200</f>
        <v>10000</v>
      </c>
      <c r="N22" s="3" t="s">
        <v>53</v>
      </c>
    </row>
    <row r="23" spans="2:17" x14ac:dyDescent="0.25">
      <c r="B23" s="7"/>
      <c r="C23" s="7" t="s">
        <v>74</v>
      </c>
      <c r="D23" s="8" t="s">
        <v>5</v>
      </c>
      <c r="E23" s="12">
        <f>($H$25)/($H$20)*(J22/60)</f>
        <v>5.25</v>
      </c>
      <c r="G23" s="3" t="s">
        <v>71</v>
      </c>
      <c r="H23" s="20">
        <v>10</v>
      </c>
      <c r="I23" s="3" t="s">
        <v>72</v>
      </c>
      <c r="L23" s="3" t="s">
        <v>40</v>
      </c>
      <c r="M23" s="3">
        <f>5*25*12</f>
        <v>1500</v>
      </c>
      <c r="N23" s="3" t="s">
        <v>64</v>
      </c>
      <c r="O23" s="3" t="s">
        <v>63</v>
      </c>
    </row>
    <row r="24" spans="2:17" x14ac:dyDescent="0.25">
      <c r="B24" s="7"/>
      <c r="C24" s="7" t="s">
        <v>33</v>
      </c>
      <c r="D24" s="8" t="s">
        <v>5</v>
      </c>
      <c r="E24" s="12">
        <f>($H$26/$H$20)*(J22/60)</f>
        <v>2.1875</v>
      </c>
      <c r="G24" s="3" t="s">
        <v>112</v>
      </c>
      <c r="H24" s="20">
        <f>H22/H23</f>
        <v>210000</v>
      </c>
      <c r="I24" s="3" t="s">
        <v>46</v>
      </c>
      <c r="L24" s="3" t="s">
        <v>41</v>
      </c>
      <c r="M24" s="3">
        <f>(25/3)*12*(70+10)</f>
        <v>8000</v>
      </c>
      <c r="N24" s="3" t="s">
        <v>59</v>
      </c>
      <c r="O24" s="3" t="s">
        <v>58</v>
      </c>
    </row>
    <row r="25" spans="2:17" x14ac:dyDescent="0.25">
      <c r="B25" s="7"/>
      <c r="C25" s="7" t="s">
        <v>34</v>
      </c>
      <c r="D25" s="8" t="s">
        <v>5</v>
      </c>
      <c r="E25" s="12">
        <f>($H$28/$H$20)*(J22/60)</f>
        <v>2.5</v>
      </c>
      <c r="G25" s="3" t="s">
        <v>74</v>
      </c>
      <c r="H25" s="21">
        <f>H22*0.12</f>
        <v>252000</v>
      </c>
      <c r="I25" s="3" t="s">
        <v>75</v>
      </c>
      <c r="L25" s="3" t="s">
        <v>44</v>
      </c>
      <c r="M25" s="3">
        <f>(25/3)*12*(42)</f>
        <v>4200</v>
      </c>
      <c r="N25" s="3" t="s">
        <v>59</v>
      </c>
      <c r="O25" s="3" t="s">
        <v>62</v>
      </c>
    </row>
    <row r="26" spans="2:17" x14ac:dyDescent="0.25">
      <c r="B26" s="7"/>
      <c r="C26" s="7" t="s">
        <v>35</v>
      </c>
      <c r="D26" s="8" t="s">
        <v>5</v>
      </c>
      <c r="E26" s="12">
        <f>(($H$29)/$H$20)*(J22/60)</f>
        <v>0.83604166666666679</v>
      </c>
      <c r="G26" s="3" t="s">
        <v>76</v>
      </c>
      <c r="H26" s="21">
        <f>H22*0.05</f>
        <v>105000</v>
      </c>
      <c r="I26" s="3" t="s">
        <v>77</v>
      </c>
      <c r="L26" s="3" t="s">
        <v>67</v>
      </c>
      <c r="M26" s="3">
        <f>50*25</f>
        <v>1250</v>
      </c>
      <c r="N26" s="3" t="s">
        <v>53</v>
      </c>
      <c r="O26" s="3" t="s">
        <v>68</v>
      </c>
    </row>
    <row r="27" spans="2:17" x14ac:dyDescent="0.25">
      <c r="B27" s="7"/>
      <c r="C27" s="7" t="s">
        <v>135</v>
      </c>
      <c r="D27" s="8" t="s">
        <v>5</v>
      </c>
      <c r="E27" s="12">
        <f>M15</f>
        <v>0.8</v>
      </c>
      <c r="H27" s="21"/>
      <c r="L27" s="3" t="s">
        <v>45</v>
      </c>
      <c r="M27" s="3">
        <f>3*25*12</f>
        <v>900</v>
      </c>
      <c r="N27" s="3" t="s">
        <v>64</v>
      </c>
      <c r="O27" s="3" t="s">
        <v>65</v>
      </c>
      <c r="Q27" s="3" t="s">
        <v>84</v>
      </c>
    </row>
    <row r="28" spans="2:17" s="5" customFormat="1" x14ac:dyDescent="0.25">
      <c r="B28" s="13"/>
      <c r="C28" s="36" t="s">
        <v>36</v>
      </c>
      <c r="D28" s="37" t="s">
        <v>5</v>
      </c>
      <c r="E28" s="38">
        <f>SUM(E22:E27)</f>
        <v>16.823541666666667</v>
      </c>
      <c r="G28" s="3" t="s">
        <v>78</v>
      </c>
      <c r="H28" s="20">
        <f>200*50*12</f>
        <v>120000</v>
      </c>
      <c r="I28" s="3" t="s">
        <v>132</v>
      </c>
      <c r="L28" s="3" t="s">
        <v>85</v>
      </c>
      <c r="M28" s="3">
        <f>50*200</f>
        <v>10000</v>
      </c>
      <c r="N28" s="3" t="s">
        <v>53</v>
      </c>
      <c r="O28" s="3" t="s">
        <v>86</v>
      </c>
      <c r="P28" s="3"/>
      <c r="Q28" s="3" t="s">
        <v>66</v>
      </c>
    </row>
    <row r="29" spans="2:17" x14ac:dyDescent="0.25">
      <c r="B29" s="7"/>
      <c r="C29" s="7"/>
      <c r="D29" s="8"/>
      <c r="E29" s="8"/>
      <c r="G29" s="3" t="s">
        <v>79</v>
      </c>
      <c r="H29" s="20">
        <f>M33</f>
        <v>40130</v>
      </c>
      <c r="L29" s="3" t="s">
        <v>87</v>
      </c>
      <c r="M29" s="3">
        <v>600</v>
      </c>
      <c r="N29" s="3" t="s">
        <v>88</v>
      </c>
    </row>
    <row r="30" spans="2:17" x14ac:dyDescent="0.25">
      <c r="B30" s="13"/>
      <c r="C30" s="36" t="s">
        <v>37</v>
      </c>
      <c r="D30" s="37" t="s">
        <v>5</v>
      </c>
      <c r="E30" s="38">
        <f>E8+E15+E19+E28</f>
        <v>34.929325980392157</v>
      </c>
      <c r="H30" s="20">
        <f>SUM(H24:H29)</f>
        <v>727130</v>
      </c>
      <c r="L30" s="3" t="s">
        <v>89</v>
      </c>
      <c r="M30" s="3">
        <f>90*(12/3)</f>
        <v>360</v>
      </c>
      <c r="N30" s="3" t="s">
        <v>90</v>
      </c>
      <c r="O30" s="3" t="s">
        <v>91</v>
      </c>
    </row>
    <row r="31" spans="2:17" x14ac:dyDescent="0.25">
      <c r="B31" s="7"/>
      <c r="C31" s="7"/>
      <c r="D31" s="8"/>
      <c r="E31" s="8"/>
      <c r="L31" s="3" t="s">
        <v>93</v>
      </c>
      <c r="M31" s="3">
        <f>150*(12/3)</f>
        <v>600</v>
      </c>
      <c r="N31" s="3" t="s">
        <v>90</v>
      </c>
      <c r="O31" s="3" t="s">
        <v>94</v>
      </c>
    </row>
    <row r="32" spans="2:17" x14ac:dyDescent="0.25">
      <c r="L32" s="3" t="s">
        <v>95</v>
      </c>
      <c r="M32" s="3">
        <f>80*(12/3)</f>
        <v>320</v>
      </c>
      <c r="N32" s="3" t="s">
        <v>90</v>
      </c>
      <c r="O32" s="3" t="s">
        <v>96</v>
      </c>
    </row>
    <row r="33" spans="3:14" x14ac:dyDescent="0.25">
      <c r="C33" s="33" t="s">
        <v>136</v>
      </c>
      <c r="D33" s="32"/>
      <c r="E33" s="32"/>
      <c r="L33" s="3" t="s">
        <v>69</v>
      </c>
      <c r="M33" s="3">
        <f>SUM(M21:M32)</f>
        <v>40130</v>
      </c>
      <c r="N33" s="3" t="s">
        <v>46</v>
      </c>
    </row>
    <row r="34" spans="3:14" x14ac:dyDescent="0.25">
      <c r="C34" s="33" t="s">
        <v>138</v>
      </c>
      <c r="D34" s="31"/>
      <c r="E34" s="31"/>
    </row>
    <row r="35" spans="3:14" x14ac:dyDescent="0.25">
      <c r="C35" s="33" t="s">
        <v>137</v>
      </c>
      <c r="D35" s="31"/>
      <c r="E35" s="31"/>
    </row>
    <row r="36" spans="3:14" x14ac:dyDescent="0.25">
      <c r="C36" s="33" t="s">
        <v>139</v>
      </c>
      <c r="D36" s="31"/>
      <c r="E36" s="31"/>
    </row>
    <row r="37" spans="3:14" x14ac:dyDescent="0.25">
      <c r="C37" s="32"/>
      <c r="D37" s="31"/>
      <c r="E37" s="31"/>
    </row>
    <row r="38" spans="3:14" x14ac:dyDescent="0.25">
      <c r="C38" s="35" t="s">
        <v>143</v>
      </c>
      <c r="D38" s="31"/>
      <c r="E38" s="31"/>
    </row>
    <row r="39" spans="3:14" x14ac:dyDescent="0.25">
      <c r="C39" s="35"/>
      <c r="D39" s="31"/>
      <c r="E39" s="31"/>
    </row>
    <row r="40" spans="3:14" x14ac:dyDescent="0.25">
      <c r="C40" s="7"/>
      <c r="D40" s="19">
        <v>2010</v>
      </c>
      <c r="E40" s="9" t="s">
        <v>145</v>
      </c>
      <c r="G40" s="34"/>
    </row>
    <row r="41" spans="3:14" x14ac:dyDescent="0.25">
      <c r="C41" s="7" t="s">
        <v>144</v>
      </c>
      <c r="D41" s="8">
        <v>25</v>
      </c>
      <c r="E41" s="10">
        <f>E30</f>
        <v>34.929325980392157</v>
      </c>
      <c r="G41" s="34"/>
    </row>
    <row r="42" spans="3:14" x14ac:dyDescent="0.25">
      <c r="C42" s="33"/>
    </row>
    <row r="43" spans="3:14" x14ac:dyDescent="0.25">
      <c r="C43" s="7" t="s">
        <v>146</v>
      </c>
      <c r="D43" s="39"/>
      <c r="E43" s="40">
        <f>(E41-D41)/D41</f>
        <v>0.39717303921568631</v>
      </c>
    </row>
  </sheetData>
  <autoFilter ref="B4:E30" xr:uid="{00000000-0009-0000-0000-000001000000}"/>
  <mergeCells count="1">
    <mergeCell ref="C2:E2"/>
  </mergeCells>
  <pageMargins left="0.55000000000000004" right="0.34" top="0.47" bottom="0.75" header="0.3" footer="0.3"/>
  <pageSetup scale="12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27"/>
  <sheetViews>
    <sheetView topLeftCell="C1" workbookViewId="0">
      <selection activeCell="U24" sqref="U24"/>
    </sheetView>
  </sheetViews>
  <sheetFormatPr defaultRowHeight="15" x14ac:dyDescent="0.25"/>
  <sheetData>
    <row r="2" spans="2:22" ht="15.75" x14ac:dyDescent="0.25">
      <c r="H2" s="9">
        <v>24</v>
      </c>
      <c r="I2" s="9">
        <v>35</v>
      </c>
      <c r="J2" s="9">
        <v>43</v>
      </c>
      <c r="K2" s="9">
        <v>64</v>
      </c>
    </row>
    <row r="3" spans="2:22" ht="15.75" thickBot="1" x14ac:dyDescent="0.3"/>
    <row r="4" spans="2:22" ht="16.5" thickBot="1" x14ac:dyDescent="0.3">
      <c r="B4" s="26">
        <v>13.1</v>
      </c>
      <c r="C4" s="9">
        <v>24</v>
      </c>
      <c r="D4" s="22">
        <f>(C4-B4)/B4</f>
        <v>0.83206106870229013</v>
      </c>
      <c r="P4" s="36" t="s">
        <v>4</v>
      </c>
      <c r="Q4" s="36" t="s">
        <v>16</v>
      </c>
      <c r="R4" s="36" t="s">
        <v>22</v>
      </c>
      <c r="S4" s="36" t="s">
        <v>29</v>
      </c>
      <c r="T4" s="36" t="s">
        <v>36</v>
      </c>
      <c r="U4" s="36" t="s">
        <v>37</v>
      </c>
      <c r="V4" s="36" t="s">
        <v>147</v>
      </c>
    </row>
    <row r="5" spans="2:22" ht="16.5" thickBot="1" x14ac:dyDescent="0.3">
      <c r="B5" s="28">
        <v>13.96</v>
      </c>
      <c r="C5" s="9">
        <v>24</v>
      </c>
      <c r="D5" s="22">
        <f>(C5-B5)/B5</f>
        <v>0.71919770773638958</v>
      </c>
      <c r="F5" s="22">
        <f>(B5-B4)/B4</f>
        <v>6.5648854961832148E-2</v>
      </c>
      <c r="G5" s="22">
        <f>(C5-C4)/C4</f>
        <v>0</v>
      </c>
      <c r="P5" s="37" t="s">
        <v>5</v>
      </c>
      <c r="Q5" s="37" t="s">
        <v>5</v>
      </c>
      <c r="R5" s="37" t="s">
        <v>5</v>
      </c>
      <c r="S5" s="37" t="s">
        <v>5</v>
      </c>
      <c r="T5" s="37" t="s">
        <v>5</v>
      </c>
      <c r="U5" s="37" t="s">
        <v>5</v>
      </c>
      <c r="V5" s="37" t="s">
        <v>5</v>
      </c>
    </row>
    <row r="6" spans="2:22" ht="16.5" thickBot="1" x14ac:dyDescent="0.3">
      <c r="B6" s="28">
        <v>22.08</v>
      </c>
      <c r="C6" s="9">
        <v>35</v>
      </c>
      <c r="D6" s="22">
        <f>(C6-B6)/B6</f>
        <v>0.58514492753623204</v>
      </c>
      <c r="F6" s="22">
        <f t="shared" ref="F6:G8" si="0">(B6-B5)/B5</f>
        <v>0.58166189111747824</v>
      </c>
      <c r="G6" s="22">
        <f t="shared" si="0"/>
        <v>0.45833333333333331</v>
      </c>
      <c r="P6" s="38">
        <v>6.84</v>
      </c>
      <c r="Q6" s="38">
        <v>3.3091199999999996</v>
      </c>
      <c r="R6" s="38">
        <v>7.1812500000000004</v>
      </c>
      <c r="S6" s="38">
        <v>2.0401133333333337</v>
      </c>
      <c r="T6" s="38">
        <v>5.2992076388888893</v>
      </c>
      <c r="U6" s="38">
        <v>24.66969097222222</v>
      </c>
      <c r="V6" s="38">
        <v>24</v>
      </c>
    </row>
    <row r="7" spans="2:22" ht="16.5" thickBot="1" x14ac:dyDescent="0.3">
      <c r="B7" s="28">
        <v>31.63</v>
      </c>
      <c r="C7" s="9">
        <v>43</v>
      </c>
      <c r="D7" s="22">
        <f>(C7-B7)/B7</f>
        <v>0.35946885867846984</v>
      </c>
      <c r="F7" s="22">
        <f t="shared" si="0"/>
        <v>0.43251811594202905</v>
      </c>
      <c r="G7" s="22">
        <f t="shared" si="0"/>
        <v>0.22857142857142856</v>
      </c>
      <c r="L7" s="38">
        <v>6.84</v>
      </c>
      <c r="M7" s="22">
        <f t="shared" ref="M7:M12" si="1">L7/$L$12</f>
        <v>0.27726330288051676</v>
      </c>
      <c r="P7" s="38">
        <v>10.799999999999999</v>
      </c>
      <c r="Q7" s="38">
        <v>4.68</v>
      </c>
      <c r="R7" s="38">
        <v>9.375</v>
      </c>
      <c r="S7" s="38">
        <v>3.76</v>
      </c>
      <c r="T7" s="38">
        <v>6.7920138888888895</v>
      </c>
      <c r="U7" s="38">
        <v>35.407013888888891</v>
      </c>
      <c r="V7" s="38">
        <v>35</v>
      </c>
    </row>
    <row r="8" spans="2:22" ht="16.5" thickBot="1" x14ac:dyDescent="0.3">
      <c r="B8" s="28">
        <v>48.68</v>
      </c>
      <c r="C8" s="9">
        <v>64</v>
      </c>
      <c r="D8" s="22">
        <f>(C8-B8)/B8</f>
        <v>0.31470829909613807</v>
      </c>
      <c r="F8" s="22">
        <f t="shared" si="0"/>
        <v>0.53904521024343977</v>
      </c>
      <c r="G8" s="22">
        <f t="shared" si="0"/>
        <v>0.48837209302325579</v>
      </c>
      <c r="J8">
        <f>13*12</f>
        <v>156</v>
      </c>
      <c r="L8" s="38">
        <v>3.3091199999999996</v>
      </c>
      <c r="M8" s="22">
        <f t="shared" si="1"/>
        <v>0.13413706737251105</v>
      </c>
      <c r="P8" s="38">
        <v>12.959999999999999</v>
      </c>
      <c r="Q8" s="38">
        <v>5.3999999999999995</v>
      </c>
      <c r="R8" s="38">
        <v>12.5</v>
      </c>
      <c r="S8" s="38">
        <v>4.3083333333333336</v>
      </c>
      <c r="T8" s="38">
        <v>7.8381944444444445</v>
      </c>
      <c r="U8" s="38">
        <v>43.006527777777777</v>
      </c>
      <c r="V8" s="38">
        <v>43</v>
      </c>
    </row>
    <row r="9" spans="2:22" ht="15.75" x14ac:dyDescent="0.25">
      <c r="L9" s="38">
        <v>7.1812500000000004</v>
      </c>
      <c r="M9" s="22">
        <f t="shared" si="1"/>
        <v>0.29109606634659524</v>
      </c>
      <c r="P9" s="38">
        <v>15.84</v>
      </c>
      <c r="Q9" s="38">
        <v>8.2728000000000002</v>
      </c>
      <c r="R9" s="38">
        <v>19.149999999999999</v>
      </c>
      <c r="S9" s="38">
        <v>9.4085226666666681</v>
      </c>
      <c r="T9" s="38">
        <v>11.788663888888891</v>
      </c>
      <c r="U9" s="38">
        <v>64.45998655555556</v>
      </c>
      <c r="V9" s="38">
        <v>64</v>
      </c>
    </row>
    <row r="10" spans="2:22" ht="15.75" x14ac:dyDescent="0.25">
      <c r="L10" s="38">
        <v>2.0401133333333337</v>
      </c>
      <c r="M10" s="22">
        <f t="shared" si="1"/>
        <v>8.2697158048330527E-2</v>
      </c>
    </row>
    <row r="11" spans="2:22" ht="15.75" x14ac:dyDescent="0.25">
      <c r="L11" s="38">
        <v>5.2992076388888893</v>
      </c>
      <c r="M11" s="22">
        <f t="shared" si="1"/>
        <v>0.21480640535204654</v>
      </c>
    </row>
    <row r="12" spans="2:22" ht="15.75" x14ac:dyDescent="0.25">
      <c r="L12" s="38">
        <v>24.66969097222222</v>
      </c>
      <c r="M12" s="22">
        <f t="shared" si="1"/>
        <v>1</v>
      </c>
    </row>
    <row r="13" spans="2:22" ht="15.75" x14ac:dyDescent="0.25">
      <c r="L13" s="38">
        <v>24</v>
      </c>
    </row>
    <row r="14" spans="2:22" ht="15.75" thickBot="1" x14ac:dyDescent="0.3">
      <c r="H14">
        <f>100*13000*12*(C4-B4)/10^7</f>
        <v>17.004000000000001</v>
      </c>
    </row>
    <row r="15" spans="2:22" ht="16.5" thickBot="1" x14ac:dyDescent="0.3">
      <c r="P15" s="26">
        <v>13.1</v>
      </c>
      <c r="Q15" s="27">
        <v>24</v>
      </c>
      <c r="R15" s="22">
        <f>(Q15-P15)/P15</f>
        <v>0.83206106870229013</v>
      </c>
    </row>
    <row r="16" spans="2:22" ht="16.5" thickBot="1" x14ac:dyDescent="0.3">
      <c r="C16">
        <v>1.07</v>
      </c>
      <c r="D16">
        <v>1.33</v>
      </c>
      <c r="E16">
        <f>SUM(C16:D16)</f>
        <v>2.4000000000000004</v>
      </c>
      <c r="P16" s="28">
        <v>13.96</v>
      </c>
      <c r="Q16" s="29">
        <v>24</v>
      </c>
      <c r="R16" s="22">
        <f>(Q16-P16)/P16</f>
        <v>0.71919770773638958</v>
      </c>
    </row>
    <row r="17" spans="5:18" ht="16.5" thickBot="1" x14ac:dyDescent="0.3">
      <c r="E17">
        <f t="shared" ref="E17:E23" si="2">SUM(C17:D17)</f>
        <v>0</v>
      </c>
      <c r="I17">
        <f>2.3/1.5</f>
        <v>1.5333333333333332</v>
      </c>
      <c r="P17" s="28">
        <v>22.08</v>
      </c>
      <c r="Q17" s="29">
        <v>35</v>
      </c>
      <c r="R17" s="22">
        <f>(Q17-P17)/P17</f>
        <v>0.58514492753623204</v>
      </c>
    </row>
    <row r="18" spans="5:18" ht="16.5" thickBot="1" x14ac:dyDescent="0.3">
      <c r="E18">
        <f t="shared" si="2"/>
        <v>0</v>
      </c>
      <c r="I18">
        <f>2.2/1.25</f>
        <v>1.7600000000000002</v>
      </c>
      <c r="P18" s="28">
        <v>31.63</v>
      </c>
      <c r="Q18" s="29">
        <v>43</v>
      </c>
      <c r="R18" s="22">
        <f>(Q18-P18)/P18</f>
        <v>0.35946885867846984</v>
      </c>
    </row>
    <row r="19" spans="5:18" ht="16.5" thickBot="1" x14ac:dyDescent="0.3">
      <c r="E19">
        <f t="shared" si="2"/>
        <v>0</v>
      </c>
      <c r="P19" s="28">
        <v>48.68</v>
      </c>
      <c r="Q19" s="29">
        <v>64</v>
      </c>
      <c r="R19" s="22">
        <f>(Q19-P19)/P19</f>
        <v>0.31470829909613807</v>
      </c>
    </row>
    <row r="20" spans="5:18" x14ac:dyDescent="0.25">
      <c r="E20">
        <f t="shared" si="2"/>
        <v>0</v>
      </c>
    </row>
    <row r="21" spans="5:18" ht="15.75" x14ac:dyDescent="0.25">
      <c r="E21">
        <f t="shared" si="2"/>
        <v>0</v>
      </c>
      <c r="I21" s="36" t="s">
        <v>4</v>
      </c>
      <c r="J21" s="37" t="s">
        <v>5</v>
      </c>
      <c r="K21" s="38">
        <v>6.84</v>
      </c>
      <c r="L21" s="38">
        <v>10.799999999999999</v>
      </c>
      <c r="M21" s="38">
        <v>12.959999999999999</v>
      </c>
      <c r="N21" s="38">
        <v>15.84</v>
      </c>
    </row>
    <row r="22" spans="5:18" ht="15.75" x14ac:dyDescent="0.25">
      <c r="E22">
        <f t="shared" si="2"/>
        <v>0</v>
      </c>
      <c r="I22" s="36" t="s">
        <v>16</v>
      </c>
      <c r="J22" s="37" t="s">
        <v>5</v>
      </c>
      <c r="K22" s="38">
        <v>3.3091199999999996</v>
      </c>
      <c r="L22" s="38">
        <v>4.68</v>
      </c>
      <c r="M22" s="38">
        <v>5.3999999999999995</v>
      </c>
      <c r="N22" s="38">
        <v>8.2728000000000002</v>
      </c>
    </row>
    <row r="23" spans="5:18" ht="15.75" x14ac:dyDescent="0.25">
      <c r="E23">
        <f t="shared" si="2"/>
        <v>0</v>
      </c>
      <c r="I23" s="36" t="s">
        <v>22</v>
      </c>
      <c r="J23" s="37" t="s">
        <v>5</v>
      </c>
      <c r="K23" s="38">
        <v>7.1812500000000004</v>
      </c>
      <c r="L23" s="38">
        <v>9.375</v>
      </c>
      <c r="M23" s="38">
        <v>12.5</v>
      </c>
      <c r="N23" s="38">
        <v>19.149999999999999</v>
      </c>
    </row>
    <row r="24" spans="5:18" ht="15.75" x14ac:dyDescent="0.25">
      <c r="I24" s="36" t="s">
        <v>29</v>
      </c>
      <c r="J24" s="37" t="s">
        <v>5</v>
      </c>
      <c r="K24" s="38">
        <v>2.0401133333333337</v>
      </c>
      <c r="L24" s="38">
        <v>3.76</v>
      </c>
      <c r="M24" s="38">
        <v>4.3083333333333336</v>
      </c>
      <c r="N24" s="38">
        <v>9.4085226666666681</v>
      </c>
    </row>
    <row r="25" spans="5:18" ht="15.75" x14ac:dyDescent="0.25">
      <c r="I25" s="36" t="s">
        <v>36</v>
      </c>
      <c r="J25" s="37" t="s">
        <v>5</v>
      </c>
      <c r="K25" s="38">
        <v>5.2992076388888893</v>
      </c>
      <c r="L25" s="38">
        <v>6.7920138888888895</v>
      </c>
      <c r="M25" s="38">
        <v>7.8381944444444445</v>
      </c>
      <c r="N25" s="38">
        <v>11.788663888888891</v>
      </c>
    </row>
    <row r="26" spans="5:18" ht="15.75" x14ac:dyDescent="0.25">
      <c r="I26" s="36" t="s">
        <v>37</v>
      </c>
      <c r="J26" s="37" t="s">
        <v>5</v>
      </c>
      <c r="K26" s="38">
        <v>24.66969097222222</v>
      </c>
      <c r="L26" s="38">
        <v>35.407013888888891</v>
      </c>
      <c r="M26" s="38">
        <v>43.006527777777777</v>
      </c>
      <c r="N26" s="38">
        <v>64.45998655555556</v>
      </c>
    </row>
    <row r="27" spans="5:18" ht="15.75" x14ac:dyDescent="0.25">
      <c r="I27" s="36" t="s">
        <v>147</v>
      </c>
      <c r="J27" s="37" t="s">
        <v>5</v>
      </c>
      <c r="K27" s="38">
        <v>24</v>
      </c>
      <c r="L27" s="38">
        <v>35</v>
      </c>
      <c r="M27" s="38">
        <v>43</v>
      </c>
      <c r="N27" s="38">
        <v>64</v>
      </c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b22dc6-87e6-4dbe-8744-e2116ed56044">
      <Terms xmlns="http://schemas.microsoft.com/office/infopath/2007/PartnerControls"/>
    </lcf76f155ced4ddcb4097134ff3c332f>
    <TaxCatchAll xmlns="2763d673-7b45-45da-9b2f-702f33aec4e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127DE19596BE4AAE2E0E6FA86D17EE" ma:contentTypeVersion="18" ma:contentTypeDescription="Create a new document." ma:contentTypeScope="" ma:versionID="03dd3bb4fa7501c530ac1e5b905809ff">
  <xsd:schema xmlns:xsd="http://www.w3.org/2001/XMLSchema" xmlns:xs="http://www.w3.org/2001/XMLSchema" xmlns:p="http://schemas.microsoft.com/office/2006/metadata/properties" xmlns:ns2="19b22dc6-87e6-4dbe-8744-e2116ed56044" xmlns:ns3="2763d673-7b45-45da-9b2f-702f33aec4e6" targetNamespace="http://schemas.microsoft.com/office/2006/metadata/properties" ma:root="true" ma:fieldsID="33b72387219848eeb5a34758ab16049b" ns2:_="" ns3:_="">
    <xsd:import namespace="19b22dc6-87e6-4dbe-8744-e2116ed56044"/>
    <xsd:import namespace="2763d673-7b45-45da-9b2f-702f33aec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22dc6-87e6-4dbe-8744-e2116ed560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92505fa-fe31-4319-891a-6f9076835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d673-7b45-45da-9b2f-702f33aec4e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eb2cc04-6f5d-4268-bb92-01f5faf2dd51}" ma:internalName="TaxCatchAll" ma:showField="CatchAllData" ma:web="2763d673-7b45-45da-9b2f-702f33aec4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6C6133-F312-4878-BF76-7D4D72B7DF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1C8C07-D1EA-482F-ACDC-23029A644DB2}">
  <ds:schemaRefs>
    <ds:schemaRef ds:uri="19b22dc6-87e6-4dbe-8744-e2116ed56044"/>
    <ds:schemaRef ds:uri="http://schemas.openxmlformats.org/package/2006/metadata/core-properties"/>
    <ds:schemaRef ds:uri="http://purl.org/dc/terms/"/>
    <ds:schemaRef ds:uri="http://purl.org/dc/elements/1.1/"/>
    <ds:schemaRef ds:uri="2763d673-7b45-45da-9b2f-702f33aec4e6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78065EE-DBA2-46F2-A6E2-59F0DBDBC2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b22dc6-87e6-4dbe-8744-e2116ed56044"/>
    <ds:schemaRef ds:uri="2763d673-7b45-45da-9b2f-702f33aec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MIG</vt:lpstr>
      <vt:lpstr>Seam</vt:lpstr>
      <vt:lpstr>Sheet2</vt:lpstr>
      <vt:lpstr>MIG!Print_Area</vt:lpstr>
      <vt:lpstr>Seam!Print_Area</vt:lpstr>
    </vt:vector>
  </TitlesOfParts>
  <Company>Ashokleyland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 J (Pricing &amp; Product Cost Engg)</dc:creator>
  <cp:lastModifiedBy>Sridhar S (PD)</cp:lastModifiedBy>
  <cp:lastPrinted>2021-11-18T04:03:48Z</cp:lastPrinted>
  <dcterms:created xsi:type="dcterms:W3CDTF">2015-04-06T08:53:09Z</dcterms:created>
  <dcterms:modified xsi:type="dcterms:W3CDTF">2026-03-20T08:22:09Z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0x010100A0127DE19596BE4AAE2E0E6FA86D17EE</vt:lpwstr>
  </property>
</Properties>
</file>